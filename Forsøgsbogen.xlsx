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35168_dtu_dk/Documents/Skrivebord/DTU/6. semester/Bachelor/"/>
    </mc:Choice>
  </mc:AlternateContent>
  <xr:revisionPtr revIDLastSave="0" documentId="8_{20E0EF6D-F3BE-4CC5-B0D0-21ECCD397361}" xr6:coauthVersionLast="47" xr6:coauthVersionMax="47" xr10:uidLastSave="{00000000-0000-0000-0000-000000000000}"/>
  <bookViews>
    <workbookView xWindow="-98" yWindow="-98" windowWidth="21795" windowHeight="12975" tabRatio="500" firstSheet="4" activeTab="4" xr2:uid="{00000000-000D-0000-FFFF-FFFF00000000}"/>
  </bookViews>
  <sheets>
    <sheet name="Intralox indledende (1)" sheetId="2" r:id="rId1"/>
    <sheet name="Intralox indledende (2)" sheetId="3" r:id="rId2"/>
    <sheet name="Intralox (1)" sheetId="4" r:id="rId3"/>
    <sheet name="Intralox (2)" sheetId="5" r:id="rId4"/>
    <sheet name="Choko-bob (1)" sheetId="9" r:id="rId5"/>
    <sheet name="Grundfoss final" sheetId="6" r:id="rId6"/>
    <sheet name="Intralox final" sheetId="7" r:id="rId7"/>
    <sheet name="Sheet1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9" l="1"/>
  <c r="H10" i="9"/>
  <c r="M10" i="9"/>
  <c r="C16" i="9"/>
  <c r="H16" i="9"/>
  <c r="M16" i="9"/>
  <c r="C22" i="9"/>
  <c r="H22" i="9"/>
  <c r="M22" i="9"/>
  <c r="C28" i="9"/>
  <c r="H28" i="9"/>
  <c r="M28" i="9"/>
  <c r="C29" i="9"/>
  <c r="H29" i="9"/>
  <c r="M29" i="9"/>
  <c r="C32" i="9"/>
  <c r="H32" i="9"/>
  <c r="M32" i="9"/>
  <c r="C33" i="9"/>
  <c r="H33" i="9"/>
  <c r="M33" i="9"/>
  <c r="C45" i="4"/>
  <c r="C44" i="4"/>
  <c r="C43" i="4"/>
  <c r="C42" i="4"/>
  <c r="C32" i="7"/>
  <c r="C9" i="7"/>
  <c r="C10" i="7"/>
  <c r="C33" i="7"/>
  <c r="C28" i="7"/>
  <c r="D27" i="7"/>
  <c r="D26" i="7"/>
  <c r="D25" i="7"/>
  <c r="C22" i="7"/>
  <c r="D21" i="7"/>
  <c r="D20" i="7"/>
  <c r="D19" i="7"/>
  <c r="C16" i="7"/>
  <c r="D15" i="7"/>
  <c r="D14" i="7"/>
  <c r="D13" i="7"/>
  <c r="C22" i="6"/>
  <c r="C16" i="6"/>
  <c r="M33" i="5"/>
  <c r="M33" i="4"/>
  <c r="M32" i="5"/>
  <c r="H33" i="5"/>
  <c r="H32" i="5"/>
  <c r="C33" i="5"/>
  <c r="C32" i="5"/>
  <c r="M32" i="4"/>
  <c r="H33" i="4"/>
  <c r="H32" i="4"/>
  <c r="C33" i="4"/>
  <c r="C32" i="4"/>
  <c r="M28" i="5"/>
  <c r="H28" i="5"/>
  <c r="I27" i="5" s="1"/>
  <c r="C28" i="5"/>
  <c r="D27" i="5" s="1"/>
  <c r="M22" i="5"/>
  <c r="H22" i="5"/>
  <c r="I21" i="5" s="1"/>
  <c r="C22" i="5"/>
  <c r="D21" i="5" s="1"/>
  <c r="M16" i="5"/>
  <c r="H16" i="5"/>
  <c r="I15" i="5" s="1"/>
  <c r="C16" i="5"/>
  <c r="M10" i="5"/>
  <c r="H10" i="5"/>
  <c r="C10" i="5"/>
  <c r="M28" i="4"/>
  <c r="H28" i="4"/>
  <c r="C28" i="4"/>
  <c r="D27" i="4"/>
  <c r="M22" i="4"/>
  <c r="H22" i="4"/>
  <c r="C22" i="4"/>
  <c r="I21" i="4"/>
  <c r="D21" i="4"/>
  <c r="M16" i="4"/>
  <c r="H16" i="4"/>
  <c r="C16" i="4"/>
  <c r="I15" i="4"/>
  <c r="I14" i="4"/>
  <c r="D14" i="4"/>
  <c r="I13" i="4"/>
  <c r="D13" i="4"/>
  <c r="M10" i="4"/>
  <c r="H10" i="4"/>
  <c r="C10" i="4"/>
  <c r="H28" i="3"/>
  <c r="C28" i="3"/>
  <c r="C29" i="3" s="1"/>
  <c r="D27" i="3"/>
  <c r="I26" i="3"/>
  <c r="D26" i="3"/>
  <c r="I25" i="3"/>
  <c r="D25" i="3"/>
  <c r="H22" i="3"/>
  <c r="C22" i="3"/>
  <c r="D21" i="3" s="1"/>
  <c r="D20" i="3"/>
  <c r="D19" i="3"/>
  <c r="H16" i="3"/>
  <c r="C16" i="3"/>
  <c r="I15" i="3"/>
  <c r="H10" i="3"/>
  <c r="C10" i="3"/>
  <c r="H26" i="2"/>
  <c r="H27" i="2" s="1"/>
  <c r="C26" i="2"/>
  <c r="C27" i="2" s="1"/>
  <c r="I25" i="2"/>
  <c r="D25" i="2"/>
  <c r="H22" i="2"/>
  <c r="C22" i="2"/>
  <c r="I21" i="2"/>
  <c r="D21" i="2"/>
  <c r="I20" i="2"/>
  <c r="D20" i="2"/>
  <c r="I19" i="2"/>
  <c r="D19" i="2"/>
  <c r="H16" i="2"/>
  <c r="C16" i="2"/>
  <c r="I15" i="2"/>
  <c r="D15" i="2"/>
  <c r="I14" i="2"/>
  <c r="D14" i="2"/>
  <c r="I13" i="2"/>
  <c r="D13" i="2"/>
  <c r="H10" i="2"/>
  <c r="C10" i="2"/>
  <c r="N25" i="9" l="1"/>
  <c r="N26" i="9"/>
  <c r="N27" i="9"/>
  <c r="I26" i="9"/>
  <c r="I27" i="9"/>
  <c r="D25" i="9"/>
  <c r="D26" i="9"/>
  <c r="D27" i="9"/>
  <c r="N19" i="9"/>
  <c r="N20" i="9"/>
  <c r="N21" i="9"/>
  <c r="I19" i="9"/>
  <c r="I20" i="9"/>
  <c r="I21" i="9"/>
  <c r="D19" i="9"/>
  <c r="D20" i="9"/>
  <c r="D21" i="9"/>
  <c r="N13" i="9"/>
  <c r="N14" i="9"/>
  <c r="N15" i="9"/>
  <c r="I13" i="9"/>
  <c r="I14" i="9"/>
  <c r="I15" i="9"/>
  <c r="D13" i="9"/>
  <c r="D14" i="9"/>
  <c r="D15" i="9"/>
  <c r="C29" i="7"/>
  <c r="D13" i="6"/>
  <c r="D14" i="6"/>
  <c r="D15" i="6"/>
  <c r="C27" i="6"/>
  <c r="D19" i="6"/>
  <c r="D20" i="6"/>
  <c r="D21" i="6"/>
  <c r="N26" i="5"/>
  <c r="N27" i="5"/>
  <c r="M29" i="5"/>
  <c r="N25" i="5"/>
  <c r="H29" i="5"/>
  <c r="I26" i="5"/>
  <c r="C29" i="5"/>
  <c r="D26" i="5"/>
  <c r="D25" i="5"/>
  <c r="N21" i="5"/>
  <c r="N20" i="5"/>
  <c r="N19" i="5"/>
  <c r="I19" i="5"/>
  <c r="I20" i="5"/>
  <c r="D19" i="5"/>
  <c r="D20" i="5"/>
  <c r="N15" i="5"/>
  <c r="N14" i="5"/>
  <c r="N13" i="5"/>
  <c r="I14" i="5"/>
  <c r="I13" i="5"/>
  <c r="D15" i="5"/>
  <c r="D13" i="5"/>
  <c r="D14" i="5"/>
  <c r="N27" i="4"/>
  <c r="M29" i="4"/>
  <c r="N25" i="4"/>
  <c r="N26" i="4"/>
  <c r="I26" i="4"/>
  <c r="H29" i="4"/>
  <c r="I25" i="4"/>
  <c r="I27" i="4"/>
  <c r="C29" i="4"/>
  <c r="D26" i="4"/>
  <c r="D25" i="4"/>
  <c r="N20" i="4"/>
  <c r="N19" i="4"/>
  <c r="N21" i="4"/>
  <c r="I20" i="4"/>
  <c r="I19" i="4"/>
  <c r="D20" i="4"/>
  <c r="D19" i="4"/>
  <c r="N15" i="4"/>
  <c r="N14" i="4"/>
  <c r="N13" i="4"/>
  <c r="D15" i="4"/>
  <c r="H29" i="3"/>
  <c r="I27" i="3"/>
  <c r="I19" i="3"/>
  <c r="I20" i="3"/>
  <c r="I21" i="3"/>
  <c r="I14" i="3"/>
  <c r="I13" i="3"/>
  <c r="D15" i="3"/>
  <c r="D14" i="3"/>
  <c r="D13" i="3"/>
</calcChain>
</file>

<file path=xl/sharedStrings.xml><?xml version="1.0" encoding="utf-8"?>
<sst xmlns="http://schemas.openxmlformats.org/spreadsheetml/2006/main" count="629" uniqueCount="93">
  <si>
    <t>Intralox første sortering</t>
  </si>
  <si>
    <t>Intralox anden sortering</t>
  </si>
  <si>
    <t>1. sortering</t>
  </si>
  <si>
    <t>2. sortering af overflow fra første sortering, første underflow var rent nok</t>
  </si>
  <si>
    <t>Der er ikke taget højde for  2-komponent partikler eller fordelingen I resten</t>
  </si>
  <si>
    <t>Vandtilførsel:</t>
  </si>
  <si>
    <t xml:space="preserve"> L/min</t>
  </si>
  <si>
    <t>Konfiguration:</t>
  </si>
  <si>
    <t xml:space="preserve">Teeter water </t>
  </si>
  <si>
    <t>Dyse</t>
  </si>
  <si>
    <t>26 huller, 40mm</t>
  </si>
  <si>
    <t>Feedflow</t>
  </si>
  <si>
    <t>Feed højde over dyserne</t>
  </si>
  <si>
    <t xml:space="preserve">59cm </t>
  </si>
  <si>
    <t>Underflow</t>
  </si>
  <si>
    <t>Overflow</t>
  </si>
  <si>
    <t>Vægt I gram</t>
  </si>
  <si>
    <t>Renhed af overflow</t>
  </si>
  <si>
    <t>Overflow: Korrekt sorteret</t>
  </si>
  <si>
    <t>Overflow: Fejlsorteret</t>
  </si>
  <si>
    <t>Overflow: 2-komponent</t>
  </si>
  <si>
    <t>Overflow total:</t>
  </si>
  <si>
    <t>Renhed af underflow</t>
  </si>
  <si>
    <t>Underflow: Korrekt sorteret</t>
  </si>
  <si>
    <t>Underflow: Fejlsorteret</t>
  </si>
  <si>
    <t>Underflow: 2-komponent</t>
  </si>
  <si>
    <t>Underflow total:</t>
  </si>
  <si>
    <t>Rest i rør</t>
  </si>
  <si>
    <t>Renhed af rest I rør</t>
  </si>
  <si>
    <t xml:space="preserve">Rest i rør:  </t>
  </si>
  <si>
    <t xml:space="preserve">Rest i rør: </t>
  </si>
  <si>
    <t xml:space="preserve">Rest total: </t>
  </si>
  <si>
    <t>Total:</t>
  </si>
  <si>
    <t>Kommentarer:</t>
  </si>
  <si>
    <t>Der er ikke blevet størrelses sorteret først</t>
  </si>
  <si>
    <t>Intralox 6,3mm</t>
  </si>
  <si>
    <t>Intralox 3,3mm</t>
  </si>
  <si>
    <t>2-komponet partiklerne ikke medregnet</t>
  </si>
  <si>
    <t>Rest I røret blev ikke medregnet I de tre fraktioner så blev bare fordelt jævt efterfølgende</t>
  </si>
  <si>
    <t>Størrelse på si</t>
  </si>
  <si>
    <t>6,3 mm</t>
  </si>
  <si>
    <t>3,3 mm</t>
  </si>
  <si>
    <t>Rest I rør</t>
  </si>
  <si>
    <t>Rest i rør:  POM</t>
  </si>
  <si>
    <t>Rest i rør: TPU</t>
  </si>
  <si>
    <t>Rest i rør: 2-komponent</t>
  </si>
  <si>
    <t xml:space="preserve">Ingen afspændingsmiddel </t>
  </si>
  <si>
    <t>Tilsat lidt afspændingsmiddel før indfødning</t>
  </si>
  <si>
    <t>Den ene urenhed I overflowet havde en masse bobler på sig</t>
  </si>
  <si>
    <t>Intralox 4mm</t>
  </si>
  <si>
    <t>Intralox 1,8mm</t>
  </si>
  <si>
    <t>6,3mm</t>
  </si>
  <si>
    <t>4mm</t>
  </si>
  <si>
    <t>1,8mm</t>
  </si>
  <si>
    <t>Rpm</t>
  </si>
  <si>
    <t>Yield i procent, 6,3mm</t>
  </si>
  <si>
    <t>Yield i procent, 4mm</t>
  </si>
  <si>
    <t>Yield i procent, 1,8mm</t>
  </si>
  <si>
    <t>TPU overflow</t>
  </si>
  <si>
    <t>POM underflow</t>
  </si>
  <si>
    <t>Ser ud som om der er flere bobler på plasten</t>
  </si>
  <si>
    <t>Yield i procent, 4 mm</t>
  </si>
  <si>
    <t>Yield i procent, 1,8 mm</t>
  </si>
  <si>
    <t>Feedwater slukket undervejs</t>
  </si>
  <si>
    <t>Mere feedwater end I første forsøg, skruet lidt ned undervejs</t>
  </si>
  <si>
    <t>Der er 0,17g af et andet plast i underflow? Det ligger I posen</t>
  </si>
  <si>
    <t>store stykker tpu sidder fast</t>
  </si>
  <si>
    <t>Der kommer lidt bobler ud fra overflowet. Ikke mere end en spiske afspænding I alt</t>
  </si>
  <si>
    <t>Her er ikke sortere større end 8mm fra</t>
  </si>
  <si>
    <t>Lidt mere feedwater end I første forsøg</t>
  </si>
  <si>
    <t>Epoxy-POM 6,3mm</t>
  </si>
  <si>
    <t>Epoxy-POM 4mm</t>
  </si>
  <si>
    <t>Epoxy-POM 1,8mm</t>
  </si>
  <si>
    <t>De epoxy partikler der der sad fast i vandsøjlen var meget tynde flager, der var ca 50/50 der røg over og under</t>
  </si>
  <si>
    <t>POM sank gennerelt mere da vi flyttede tragten, de var meget rundere</t>
  </si>
  <si>
    <t>Kommentarer til ekstra test af fejlfund:</t>
  </si>
  <si>
    <t>Epoxy: 1,3149g røg op 13,5256g røg rigtigt ned</t>
  </si>
  <si>
    <t>Alt Pom røg forkert ned igen</t>
  </si>
  <si>
    <t>Epoxy blev splittet ca 50/50</t>
  </si>
  <si>
    <t>Grundfoss</t>
  </si>
  <si>
    <t>Med åbent underflow</t>
  </si>
  <si>
    <t>&gt;85</t>
  </si>
  <si>
    <t>ca 40</t>
  </si>
  <si>
    <t>ca 45</t>
  </si>
  <si>
    <t>Yield i procent</t>
  </si>
  <si>
    <t>PA66 overflow</t>
  </si>
  <si>
    <t>Messing underflow</t>
  </si>
  <si>
    <t>Intralox final</t>
  </si>
  <si>
    <t>Granulatet blev ikke størrelses sorteret</t>
  </si>
  <si>
    <t>Udregning af fart i overflow</t>
  </si>
  <si>
    <t>kg</t>
  </si>
  <si>
    <t>s</t>
  </si>
  <si>
    <t>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</si>
</sst>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2">
    <font>
      <sz val="11"/>
      <color theme="1"/>
      <name val="Aptos Narrow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595959"/>
      <name val="Arial"/>
      <family val="2"/>
      <charset val="1"/>
    </font>
    <font>
      <sz val="11"/>
      <color theme="1"/>
      <name val="Aptos Narrow"/>
      <family val="2"/>
      <charset val="1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name val="Arial"/>
    </font>
    <font>
      <i/>
      <sz val="10"/>
      <color rgb="FF595959"/>
      <name val="Arial"/>
    </font>
    <font>
      <sz val="11"/>
      <color rgb="FF000000"/>
      <name val="Aptos Narrow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rgb="FF595959"/>
      <name val="Arial"/>
      <family val="2"/>
    </font>
    <font>
      <b/>
      <sz val="11"/>
      <color theme="0"/>
      <name val="Aptos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theme="2"/>
        <bgColor rgb="FFE8EAF6"/>
      </patternFill>
    </fill>
    <fill>
      <patternFill patternType="solid">
        <fgColor rgb="FF2E75B6"/>
        <bgColor rgb="FF156082"/>
      </patternFill>
    </fill>
    <fill>
      <patternFill patternType="solid">
        <fgColor rgb="FFBDD7EE"/>
        <bgColor rgb="FFD1D1D1"/>
      </patternFill>
    </fill>
    <fill>
      <patternFill patternType="solid">
        <fgColor rgb="FF9DC3E6"/>
        <bgColor rgb="FFB0BEC5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2F2F2"/>
        <bgColor rgb="FFF5F5F5"/>
      </patternFill>
    </fill>
    <fill>
      <patternFill patternType="solid">
        <fgColor rgb="FF4D74B1"/>
        <bgColor indexed="64"/>
      </patternFill>
    </fill>
    <fill>
      <patternFill patternType="solid">
        <fgColor rgb="FFC5D7EC"/>
        <bgColor indexed="64"/>
      </patternFill>
    </fill>
    <fill>
      <patternFill patternType="solid">
        <fgColor rgb="FFA9C2E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7" fillId="0" borderId="0"/>
    <xf numFmtId="9" fontId="7" fillId="0" borderId="0" applyFont="0" applyFill="0" applyBorder="0" applyAlignment="0" applyProtection="0"/>
  </cellStyleXfs>
  <cellXfs count="108">
    <xf numFmtId="0" fontId="0" fillId="0" borderId="0" xfId="0"/>
    <xf numFmtId="0" fontId="7" fillId="0" borderId="0" xfId="1" applyAlignment="1">
      <alignment horizontal="center"/>
    </xf>
    <xf numFmtId="0" fontId="7" fillId="0" borderId="0" xfId="1"/>
    <xf numFmtId="0" fontId="2" fillId="4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2" fontId="4" fillId="5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2" fontId="4" fillId="6" borderId="1" xfId="1" applyNumberFormat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left" vertical="center"/>
    </xf>
    <xf numFmtId="10" fontId="7" fillId="0" borderId="0" xfId="1" applyNumberFormat="1"/>
    <xf numFmtId="10" fontId="2" fillId="4" borderId="1" xfId="1" applyNumberFormat="1" applyFont="1" applyFill="1" applyBorder="1" applyAlignment="1">
      <alignment horizontal="center" vertical="center"/>
    </xf>
    <xf numFmtId="0" fontId="7" fillId="7" borderId="0" xfId="1" applyFill="1" applyAlignment="1">
      <alignment horizontal="center" vertical="center"/>
    </xf>
    <xf numFmtId="2" fontId="7" fillId="7" borderId="0" xfId="1" applyNumberFormat="1" applyFill="1" applyAlignment="1">
      <alignment horizontal="center"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vertical="center"/>
    </xf>
    <xf numFmtId="0" fontId="3" fillId="8" borderId="3" xfId="1" applyFont="1" applyFill="1" applyBorder="1" applyAlignment="1">
      <alignment horizontal="left" vertical="top"/>
    </xf>
    <xf numFmtId="0" fontId="3" fillId="8" borderId="4" xfId="1" applyFont="1" applyFill="1" applyBorder="1" applyAlignment="1">
      <alignment horizontal="left" vertical="top"/>
    </xf>
    <xf numFmtId="0" fontId="3" fillId="8" borderId="5" xfId="1" applyFont="1" applyFill="1" applyBorder="1" applyAlignment="1">
      <alignment horizontal="left" vertical="top"/>
    </xf>
    <xf numFmtId="0" fontId="5" fillId="8" borderId="4" xfId="1" applyFont="1" applyFill="1" applyBorder="1" applyAlignment="1">
      <alignment horizontal="left" vertical="top"/>
    </xf>
    <xf numFmtId="0" fontId="5" fillId="8" borderId="5" xfId="1" applyFont="1" applyFill="1" applyBorder="1" applyAlignment="1">
      <alignment horizontal="left" vertical="top"/>
    </xf>
    <xf numFmtId="0" fontId="6" fillId="8" borderId="3" xfId="1" applyFont="1" applyFill="1" applyBorder="1" applyAlignment="1">
      <alignment horizontal="center" vertical="top"/>
    </xf>
    <xf numFmtId="0" fontId="6" fillId="8" borderId="4" xfId="1" applyFont="1" applyFill="1" applyBorder="1" applyAlignment="1">
      <alignment horizontal="center" vertical="top"/>
    </xf>
    <xf numFmtId="0" fontId="6" fillId="8" borderId="5" xfId="1" applyFont="1" applyFill="1" applyBorder="1" applyAlignment="1">
      <alignment horizontal="center" vertical="top"/>
    </xf>
    <xf numFmtId="0" fontId="6" fillId="8" borderId="3" xfId="1" applyFont="1" applyFill="1" applyBorder="1" applyAlignment="1">
      <alignment vertical="top"/>
    </xf>
    <xf numFmtId="0" fontId="6" fillId="8" borderId="4" xfId="1" applyFont="1" applyFill="1" applyBorder="1" applyAlignment="1">
      <alignment vertical="top"/>
    </xf>
    <xf numFmtId="0" fontId="6" fillId="8" borderId="5" xfId="1" applyFont="1" applyFill="1" applyBorder="1" applyAlignment="1">
      <alignment vertical="top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2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top"/>
    </xf>
    <xf numFmtId="2" fontId="7" fillId="0" borderId="0" xfId="1" applyNumberFormat="1" applyAlignment="1">
      <alignment horizontal="center" vertical="center"/>
    </xf>
    <xf numFmtId="10" fontId="3" fillId="5" borderId="1" xfId="2" applyNumberFormat="1" applyFont="1" applyFill="1" applyBorder="1" applyAlignment="1">
      <alignment horizontal="left" vertical="center"/>
    </xf>
    <xf numFmtId="0" fontId="0" fillId="0" borderId="0" xfId="1" applyFont="1"/>
    <xf numFmtId="0" fontId="9" fillId="4" borderId="1" xfId="1" applyFont="1" applyFill="1" applyBorder="1" applyAlignment="1">
      <alignment horizontal="left" vertical="center"/>
    </xf>
    <xf numFmtId="0" fontId="10" fillId="5" borderId="1" xfId="1" applyFont="1" applyFill="1" applyBorder="1" applyAlignment="1">
      <alignment horizontal="left" vertical="center"/>
    </xf>
    <xf numFmtId="2" fontId="11" fillId="5" borderId="1" xfId="1" applyNumberFormat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horizontal="center" vertical="center"/>
    </xf>
    <xf numFmtId="165" fontId="9" fillId="4" borderId="1" xfId="1" applyNumberFormat="1" applyFont="1" applyFill="1" applyBorder="1" applyAlignment="1">
      <alignment horizontal="center" vertical="center"/>
    </xf>
    <xf numFmtId="10" fontId="11" fillId="5" borderId="1" xfId="1" applyNumberFormat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left" vertical="center"/>
    </xf>
    <xf numFmtId="2" fontId="11" fillId="6" borderId="1" xfId="1" applyNumberFormat="1" applyFont="1" applyFill="1" applyBorder="1" applyAlignment="1">
      <alignment horizontal="center" vertical="center"/>
    </xf>
    <xf numFmtId="10" fontId="11" fillId="6" borderId="1" xfId="1" applyNumberFormat="1" applyFont="1" applyFill="1" applyBorder="1" applyAlignment="1">
      <alignment horizontal="left" vertical="center"/>
    </xf>
    <xf numFmtId="10" fontId="0" fillId="0" borderId="0" xfId="1" applyNumberFormat="1" applyFont="1"/>
    <xf numFmtId="10" fontId="9" fillId="4" borderId="1" xfId="1" applyNumberFormat="1" applyFont="1" applyFill="1" applyBorder="1" applyAlignment="1">
      <alignment horizontal="center" vertical="center"/>
    </xf>
    <xf numFmtId="0" fontId="0" fillId="7" borderId="0" xfId="1" applyFont="1" applyFill="1" applyAlignment="1">
      <alignment horizontal="center" vertic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vertical="center"/>
    </xf>
    <xf numFmtId="0" fontId="10" fillId="8" borderId="3" xfId="1" applyFont="1" applyFill="1" applyBorder="1" applyAlignment="1">
      <alignment horizontal="left" vertical="top"/>
    </xf>
    <xf numFmtId="0" fontId="10" fillId="8" borderId="4" xfId="1" applyFont="1" applyFill="1" applyBorder="1" applyAlignment="1">
      <alignment horizontal="left" vertical="top"/>
    </xf>
    <xf numFmtId="0" fontId="10" fillId="8" borderId="5" xfId="1" applyFont="1" applyFill="1" applyBorder="1" applyAlignment="1">
      <alignment horizontal="left" vertical="top"/>
    </xf>
    <xf numFmtId="0" fontId="12" fillId="8" borderId="4" xfId="1" applyFont="1" applyFill="1" applyBorder="1" applyAlignment="1">
      <alignment horizontal="left" vertical="top"/>
    </xf>
    <xf numFmtId="0" fontId="12" fillId="8" borderId="5" xfId="1" applyFont="1" applyFill="1" applyBorder="1" applyAlignment="1">
      <alignment horizontal="left" vertical="top"/>
    </xf>
    <xf numFmtId="0" fontId="13" fillId="8" borderId="3" xfId="1" applyFont="1" applyFill="1" applyBorder="1" applyAlignment="1">
      <alignment horizontal="center" vertical="top"/>
    </xf>
    <xf numFmtId="0" fontId="13" fillId="8" borderId="4" xfId="1" applyFont="1" applyFill="1" applyBorder="1" applyAlignment="1">
      <alignment horizontal="center" vertical="top"/>
    </xf>
    <xf numFmtId="0" fontId="13" fillId="8" borderId="5" xfId="1" applyFont="1" applyFill="1" applyBorder="1" applyAlignment="1">
      <alignment horizontal="center" vertical="top"/>
    </xf>
    <xf numFmtId="0" fontId="13" fillId="8" borderId="3" xfId="1" applyFont="1" applyFill="1" applyBorder="1" applyAlignment="1">
      <alignment vertical="top"/>
    </xf>
    <xf numFmtId="0" fontId="13" fillId="8" borderId="4" xfId="1" applyFont="1" applyFill="1" applyBorder="1" applyAlignment="1">
      <alignment vertical="top"/>
    </xf>
    <xf numFmtId="0" fontId="13" fillId="8" borderId="5" xfId="1" applyFont="1" applyFill="1" applyBorder="1" applyAlignment="1">
      <alignment vertical="top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0" fontId="18" fillId="0" borderId="0" xfId="0" applyNumberFormat="1" applyFont="1"/>
    <xf numFmtId="0" fontId="19" fillId="0" borderId="0" xfId="0" applyFont="1"/>
    <xf numFmtId="0" fontId="20" fillId="0" borderId="0" xfId="0" applyFont="1"/>
    <xf numFmtId="0" fontId="15" fillId="0" borderId="0" xfId="0" applyFont="1"/>
    <xf numFmtId="2" fontId="0" fillId="0" borderId="0" xfId="1" applyNumberFormat="1" applyFont="1" applyAlignment="1">
      <alignment horizontal="center" vertical="center"/>
    </xf>
    <xf numFmtId="9" fontId="10" fillId="5" borderId="1" xfId="1" applyNumberFormat="1" applyFont="1" applyFill="1" applyBorder="1" applyAlignment="1">
      <alignment horizontal="left" vertical="center"/>
    </xf>
    <xf numFmtId="0" fontId="2" fillId="9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left" vertical="center"/>
    </xf>
    <xf numFmtId="0" fontId="14" fillId="10" borderId="0" xfId="0" applyFont="1" applyFill="1"/>
    <xf numFmtId="0" fontId="14" fillId="11" borderId="0" xfId="0" applyFont="1" applyFill="1"/>
    <xf numFmtId="2" fontId="7" fillId="0" borderId="0" xfId="1" applyNumberFormat="1"/>
    <xf numFmtId="0" fontId="3" fillId="8" borderId="4" xfId="1" applyFont="1" applyFill="1" applyBorder="1" applyAlignment="1">
      <alignment vertical="top"/>
    </xf>
    <xf numFmtId="0" fontId="3" fillId="8" borderId="5" xfId="1" applyFont="1" applyFill="1" applyBorder="1" applyAlignment="1">
      <alignment vertical="top"/>
    </xf>
    <xf numFmtId="0" fontId="5" fillId="8" borderId="4" xfId="1" applyFont="1" applyFill="1" applyBorder="1" applyAlignment="1">
      <alignment vertical="top"/>
    </xf>
    <xf numFmtId="0" fontId="5" fillId="8" borderId="5" xfId="1" applyFont="1" applyFill="1" applyBorder="1" applyAlignment="1">
      <alignment vertical="top"/>
    </xf>
    <xf numFmtId="0" fontId="4" fillId="8" borderId="1" xfId="1" applyFont="1" applyFill="1" applyBorder="1" applyAlignment="1">
      <alignment horizontal="center"/>
    </xf>
    <xf numFmtId="0" fontId="3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7" fillId="3" borderId="0" xfId="1" applyFill="1" applyAlignment="1">
      <alignment horizontal="left" vertical="center"/>
    </xf>
    <xf numFmtId="0" fontId="7" fillId="3" borderId="0" xfId="1" applyFill="1" applyAlignment="1">
      <alignment horizontal="center"/>
    </xf>
    <xf numFmtId="0" fontId="7" fillId="0" borderId="0" xfId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8" borderId="1" xfId="1" applyFont="1" applyFill="1" applyBorder="1" applyAlignment="1">
      <alignment horizontal="left" vertical="top"/>
    </xf>
    <xf numFmtId="0" fontId="7" fillId="3" borderId="2" xfId="1" applyFill="1" applyBorder="1" applyAlignment="1">
      <alignment horizontal="center"/>
    </xf>
    <xf numFmtId="0" fontId="7" fillId="3" borderId="2" xfId="1" applyFill="1" applyBorder="1" applyAlignment="1">
      <alignment horizontal="left" vertical="center"/>
    </xf>
    <xf numFmtId="0" fontId="7" fillId="3" borderId="2" xfId="1" applyFill="1" applyBorder="1" applyAlignment="1">
      <alignment horizontal="left" vertical="top"/>
    </xf>
    <xf numFmtId="0" fontId="4" fillId="0" borderId="0" xfId="1" applyFont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0" fillId="3" borderId="2" xfId="1" applyFont="1" applyFill="1" applyBorder="1" applyAlignment="1">
      <alignment horizontal="left" vertical="center"/>
    </xf>
    <xf numFmtId="0" fontId="0" fillId="3" borderId="0" xfId="1" applyFont="1" applyFill="1" applyAlignment="1">
      <alignment horizontal="left" vertical="center"/>
    </xf>
    <xf numFmtId="0" fontId="11" fillId="8" borderId="1" xfId="1" applyFont="1" applyFill="1" applyBorder="1" applyAlignment="1">
      <alignment horizontal="center"/>
    </xf>
    <xf numFmtId="0" fontId="7" fillId="3" borderId="2" xfId="1" applyFill="1" applyBorder="1" applyAlignment="1">
      <alignment horizontal="left"/>
    </xf>
    <xf numFmtId="0" fontId="21" fillId="9" borderId="0" xfId="0" applyFont="1" applyFill="1" applyAlignment="1">
      <alignment horizontal="center"/>
    </xf>
    <xf numFmtId="0" fontId="18" fillId="0" borderId="0" xfId="0" applyFont="1" applyAlignment="1"/>
  </cellXfs>
  <cellStyles count="3">
    <cellStyle name="Normal" xfId="0" builtinId="0"/>
    <cellStyle name="Normal 2" xfId="1" xr:uid="{00000000-0005-0000-0000-000006000000}"/>
    <cellStyle name="Pro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B0BEC5"/>
      <rgbColor rgb="FF595959"/>
      <rgbColor rgb="FFFAFAFA"/>
      <rgbColor rgb="FFE8EAF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F2F2F2"/>
      <rgbColor rgb="FFE8E8E8"/>
      <rgbColor rgb="FFF5F5F5"/>
      <rgbColor rgb="FF9DC3E6"/>
      <rgbColor rgb="FFFF99CC"/>
      <rgbColor rgb="FFD1D1D1"/>
      <rgbColor rgb="FFD9D9D9"/>
      <rgbColor rgb="FF2E75B6"/>
      <rgbColor rgb="FF33CCCC"/>
      <rgbColor rgb="FF99CC00"/>
      <rgbColor rgb="FFFFCC00"/>
      <rgbColor rgb="FFFF9900"/>
      <rgbColor rgb="FFE97132"/>
      <rgbColor rgb="FF546E7A"/>
      <rgbColor rgb="FF969696"/>
      <rgbColor rgb="FF1A237E"/>
      <rgbColor rgb="FF339966"/>
      <rgbColor rgb="FF003300"/>
      <rgbColor rgb="FF333300"/>
      <rgbColor rgb="FF993300"/>
      <rgbColor rgb="FF993366"/>
      <rgbColor rgb="FF1F4E7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9C2E2"/>
      <color rgb="FFC5D7EC"/>
      <color rgb="FF4D74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5"/>
  <sheetViews>
    <sheetView topLeftCell="A7" zoomScale="67" zoomScaleNormal="67" workbookViewId="0"/>
  </sheetViews>
  <sheetFormatPr defaultColWidth="8.5703125" defaultRowHeight="14.25"/>
  <cols>
    <col min="1" max="1" width="2" style="2" customWidth="1"/>
    <col min="2" max="2" width="21" style="2" customWidth="1"/>
    <col min="3" max="3" width="10.5703125" style="2" customWidth="1"/>
    <col min="4" max="4" width="19.5703125" style="2" customWidth="1"/>
    <col min="5" max="5" width="13.7109375" style="2" customWidth="1"/>
    <col min="6" max="6" width="8.5703125" style="2"/>
    <col min="7" max="7" width="21" style="2" customWidth="1"/>
    <col min="8" max="8" width="10.5703125" style="2" customWidth="1"/>
    <col min="9" max="9" width="19.5703125" style="2" customWidth="1"/>
    <col min="10" max="10" width="13.7109375" style="2" customWidth="1"/>
    <col min="11" max="16384" width="8.5703125" style="2"/>
  </cols>
  <sheetData>
    <row r="1" spans="2:10" ht="18" customHeight="1"/>
    <row r="2" spans="2:10" ht="18" customHeight="1">
      <c r="B2" s="94" t="s">
        <v>0</v>
      </c>
      <c r="C2" s="94"/>
      <c r="D2" s="94"/>
      <c r="E2" s="94"/>
      <c r="G2" s="94" t="s">
        <v>1</v>
      </c>
      <c r="H2" s="94"/>
      <c r="I2" s="94"/>
      <c r="J2" s="94"/>
    </row>
    <row r="3" spans="2:10" ht="18" customHeight="1">
      <c r="B3" s="98" t="s">
        <v>2</v>
      </c>
      <c r="C3" s="98"/>
      <c r="D3" s="98"/>
      <c r="E3" s="98"/>
      <c r="G3" s="99" t="s">
        <v>3</v>
      </c>
      <c r="H3" s="99"/>
      <c r="I3" s="99"/>
      <c r="J3" s="99"/>
    </row>
    <row r="4" spans="2:10" ht="18" customHeight="1">
      <c r="B4" s="91" t="s">
        <v>4</v>
      </c>
      <c r="C4" s="91"/>
      <c r="D4" s="91"/>
      <c r="E4" s="91"/>
      <c r="G4" s="91" t="s">
        <v>4</v>
      </c>
      <c r="H4" s="91"/>
      <c r="I4" s="91"/>
      <c r="J4" s="91"/>
    </row>
    <row r="5" spans="2:10" ht="18" customHeight="1"/>
    <row r="6" spans="2:10" ht="18" customHeight="1">
      <c r="B6" s="3" t="s">
        <v>5</v>
      </c>
      <c r="C6" s="3" t="s">
        <v>6</v>
      </c>
      <c r="D6" s="3" t="s">
        <v>7</v>
      </c>
      <c r="E6" s="3"/>
      <c r="G6" s="3" t="s">
        <v>5</v>
      </c>
      <c r="H6" s="3" t="s">
        <v>6</v>
      </c>
      <c r="I6" s="3" t="s">
        <v>7</v>
      </c>
      <c r="J6" s="3"/>
    </row>
    <row r="7" spans="2:10" ht="18" customHeight="1">
      <c r="B7" s="4" t="s">
        <v>8</v>
      </c>
      <c r="C7" s="5">
        <v>17</v>
      </c>
      <c r="D7" s="4" t="s">
        <v>9</v>
      </c>
      <c r="E7" s="6" t="s">
        <v>10</v>
      </c>
      <c r="G7" s="4" t="s">
        <v>8</v>
      </c>
      <c r="H7" s="5">
        <v>17</v>
      </c>
      <c r="I7" s="4" t="s">
        <v>9</v>
      </c>
      <c r="J7" s="6" t="s">
        <v>10</v>
      </c>
    </row>
    <row r="8" spans="2:10" ht="18" customHeight="1">
      <c r="B8" s="4" t="s">
        <v>11</v>
      </c>
      <c r="C8" s="5">
        <v>0</v>
      </c>
      <c r="D8" s="4" t="s">
        <v>12</v>
      </c>
      <c r="E8" s="6" t="s">
        <v>13</v>
      </c>
      <c r="G8" s="4" t="s">
        <v>11</v>
      </c>
      <c r="H8" s="5">
        <v>0</v>
      </c>
      <c r="I8" s="4" t="s">
        <v>12</v>
      </c>
      <c r="J8" s="6" t="s">
        <v>13</v>
      </c>
    </row>
    <row r="9" spans="2:10" ht="18" customHeight="1">
      <c r="B9" s="4" t="s">
        <v>14</v>
      </c>
      <c r="C9" s="5">
        <v>0</v>
      </c>
      <c r="D9" s="4"/>
      <c r="E9" s="6"/>
      <c r="G9" s="4" t="s">
        <v>14</v>
      </c>
      <c r="H9" s="5">
        <v>0</v>
      </c>
      <c r="I9" s="4"/>
      <c r="J9" s="6"/>
    </row>
    <row r="10" spans="2:10" ht="18" customHeight="1">
      <c r="B10" s="4" t="s">
        <v>15</v>
      </c>
      <c r="C10" s="5">
        <f>C7-C9+C8</f>
        <v>17</v>
      </c>
      <c r="D10" s="6"/>
      <c r="E10" s="6"/>
      <c r="G10" s="4" t="s">
        <v>15</v>
      </c>
      <c r="H10" s="5">
        <f>H7-H9+H8</f>
        <v>17</v>
      </c>
      <c r="I10" s="6"/>
      <c r="J10" s="6"/>
    </row>
    <row r="11" spans="2:10" ht="18" customHeight="1"/>
    <row r="12" spans="2:10" ht="18" customHeight="1">
      <c r="B12" s="7" t="s">
        <v>15</v>
      </c>
      <c r="C12" s="7" t="s">
        <v>16</v>
      </c>
      <c r="D12" s="8" t="s">
        <v>17</v>
      </c>
      <c r="E12" s="7"/>
      <c r="G12" s="7" t="s">
        <v>15</v>
      </c>
      <c r="H12" s="7" t="s">
        <v>16</v>
      </c>
      <c r="I12" s="8" t="s">
        <v>17</v>
      </c>
      <c r="J12" s="7"/>
    </row>
    <row r="13" spans="2:10" ht="18" customHeight="1">
      <c r="B13" s="4" t="s">
        <v>18</v>
      </c>
      <c r="C13" s="5">
        <v>48.88</v>
      </c>
      <c r="D13" s="9">
        <f>C13/C16</f>
        <v>0.87176743356518638</v>
      </c>
      <c r="E13" s="4"/>
      <c r="G13" s="4" t="s">
        <v>18</v>
      </c>
      <c r="H13" s="5">
        <v>48.25</v>
      </c>
      <c r="I13" s="9">
        <f>H13/H16</f>
        <v>0.97989439480097473</v>
      </c>
      <c r="J13" s="4"/>
    </row>
    <row r="14" spans="2:10" ht="18" customHeight="1">
      <c r="B14" s="4" t="s">
        <v>19</v>
      </c>
      <c r="C14" s="5">
        <v>7.19</v>
      </c>
      <c r="D14" s="9">
        <f>C14/C16</f>
        <v>0.12823256643481362</v>
      </c>
      <c r="E14" s="4"/>
      <c r="G14" s="4" t="s">
        <v>19</v>
      </c>
      <c r="H14" s="5">
        <v>0.99</v>
      </c>
      <c r="I14" s="9">
        <f>H14/H16</f>
        <v>2.010560519902518E-2</v>
      </c>
      <c r="J14" s="4"/>
    </row>
    <row r="15" spans="2:10" ht="18" customHeight="1">
      <c r="B15" s="4" t="s">
        <v>20</v>
      </c>
      <c r="C15" s="5">
        <v>0</v>
      </c>
      <c r="D15" s="9">
        <f>C15/C16</f>
        <v>0</v>
      </c>
      <c r="E15" s="4"/>
      <c r="G15" s="4" t="s">
        <v>20</v>
      </c>
      <c r="H15" s="5">
        <v>0</v>
      </c>
      <c r="I15" s="9">
        <f>H15/H16</f>
        <v>0</v>
      </c>
      <c r="J15" s="4"/>
    </row>
    <row r="16" spans="2:10" ht="18" customHeight="1">
      <c r="B16" s="10" t="s">
        <v>21</v>
      </c>
      <c r="C16" s="11">
        <f>SUM(C13:C15)</f>
        <v>56.07</v>
      </c>
      <c r="D16" s="12"/>
      <c r="E16" s="10"/>
      <c r="G16" s="10" t="s">
        <v>21</v>
      </c>
      <c r="H16" s="11">
        <f>SUM(H13:H15)</f>
        <v>49.24</v>
      </c>
      <c r="I16" s="12"/>
      <c r="J16" s="10"/>
    </row>
    <row r="17" spans="2:10" ht="18" customHeight="1">
      <c r="D17" s="13"/>
      <c r="I17" s="13"/>
    </row>
    <row r="18" spans="2:10" ht="18" customHeight="1">
      <c r="B18" s="7" t="s">
        <v>14</v>
      </c>
      <c r="C18" s="7" t="s">
        <v>16</v>
      </c>
      <c r="D18" s="14" t="s">
        <v>22</v>
      </c>
      <c r="E18" s="7"/>
      <c r="G18" s="7" t="s">
        <v>14</v>
      </c>
      <c r="H18" s="7" t="s">
        <v>16</v>
      </c>
      <c r="I18" s="14" t="s">
        <v>22</v>
      </c>
      <c r="J18" s="7"/>
    </row>
    <row r="19" spans="2:10" ht="18" customHeight="1">
      <c r="B19" s="4" t="s">
        <v>23</v>
      </c>
      <c r="C19" s="5">
        <v>42.73</v>
      </c>
      <c r="D19" s="9">
        <f>C19/C22</f>
        <v>0.9939520818795069</v>
      </c>
      <c r="E19" s="4"/>
      <c r="G19" s="4" t="s">
        <v>23</v>
      </c>
      <c r="H19" s="5">
        <v>0.25138888888888899</v>
      </c>
      <c r="I19" s="9">
        <f>H19/H22</f>
        <v>1</v>
      </c>
      <c r="J19" s="4"/>
    </row>
    <row r="20" spans="2:10" ht="18" customHeight="1">
      <c r="B20" s="4" t="s">
        <v>24</v>
      </c>
      <c r="C20" s="5">
        <v>0.26</v>
      </c>
      <c r="D20" s="9">
        <f>C20/C22</f>
        <v>6.0479181204931391E-3</v>
      </c>
      <c r="E20" s="4"/>
      <c r="G20" s="4" t="s">
        <v>24</v>
      </c>
      <c r="H20" s="5">
        <v>0</v>
      </c>
      <c r="I20" s="9">
        <f>H20/H22</f>
        <v>0</v>
      </c>
      <c r="J20" s="4"/>
    </row>
    <row r="21" spans="2:10" ht="18" customHeight="1">
      <c r="B21" s="4" t="s">
        <v>25</v>
      </c>
      <c r="C21" s="5">
        <v>0</v>
      </c>
      <c r="D21" s="9">
        <f>C21/C22</f>
        <v>0</v>
      </c>
      <c r="E21" s="4"/>
      <c r="G21" s="4" t="s">
        <v>25</v>
      </c>
      <c r="H21" s="5">
        <v>0</v>
      </c>
      <c r="I21" s="9">
        <f>H21/H22</f>
        <v>0</v>
      </c>
      <c r="J21" s="4"/>
    </row>
    <row r="22" spans="2:10" ht="18" customHeight="1">
      <c r="B22" s="10" t="s">
        <v>26</v>
      </c>
      <c r="C22" s="11">
        <f>SUM(C19:C21)</f>
        <v>42.989999999999995</v>
      </c>
      <c r="D22" s="12"/>
      <c r="E22" s="10"/>
      <c r="G22" s="10" t="s">
        <v>26</v>
      </c>
      <c r="H22" s="11">
        <f>SUM(H19:H21)</f>
        <v>0.25138888888888899</v>
      </c>
      <c r="I22" s="12"/>
      <c r="J22" s="10"/>
    </row>
    <row r="23" spans="2:10" ht="18" customHeight="1">
      <c r="D23" s="13"/>
      <c r="I23" s="13"/>
    </row>
    <row r="24" spans="2:10" ht="18" customHeight="1">
      <c r="B24" s="7" t="s">
        <v>27</v>
      </c>
      <c r="C24" s="7" t="s">
        <v>16</v>
      </c>
      <c r="D24" s="14" t="s">
        <v>28</v>
      </c>
      <c r="E24" s="7"/>
      <c r="G24" s="7" t="s">
        <v>27</v>
      </c>
      <c r="H24" s="7" t="s">
        <v>16</v>
      </c>
      <c r="I24" s="14" t="s">
        <v>28</v>
      </c>
      <c r="J24" s="7"/>
    </row>
    <row r="25" spans="2:10" ht="18" customHeight="1">
      <c r="B25" s="4" t="s">
        <v>29</v>
      </c>
      <c r="C25" s="5">
        <v>0.56000000000000005</v>
      </c>
      <c r="D25" s="9">
        <f>C25/C26</f>
        <v>1</v>
      </c>
      <c r="E25" s="4"/>
      <c r="G25" s="4" t="s">
        <v>30</v>
      </c>
      <c r="H25" s="5">
        <v>0.53</v>
      </c>
      <c r="I25" s="9">
        <f>H25/H26</f>
        <v>1</v>
      </c>
      <c r="J25" s="4"/>
    </row>
    <row r="26" spans="2:10" ht="18" customHeight="1">
      <c r="B26" s="10" t="s">
        <v>31</v>
      </c>
      <c r="C26" s="11">
        <f>SUM(C25)</f>
        <v>0.56000000000000005</v>
      </c>
      <c r="D26" s="12"/>
      <c r="E26" s="10"/>
      <c r="G26" s="10" t="s">
        <v>31</v>
      </c>
      <c r="H26" s="11">
        <f>SUM(H25)</f>
        <v>0.53</v>
      </c>
      <c r="I26" s="12"/>
      <c r="J26" s="10"/>
    </row>
    <row r="27" spans="2:10" ht="18" customHeight="1">
      <c r="B27" s="15" t="s">
        <v>32</v>
      </c>
      <c r="C27" s="16">
        <f>C26+C22+C16</f>
        <v>99.62</v>
      </c>
      <c r="D27" s="17"/>
      <c r="E27" s="18"/>
      <c r="F27" s="18"/>
      <c r="G27" s="15" t="s">
        <v>32</v>
      </c>
      <c r="H27" s="16">
        <f>H26+H22+H16</f>
        <v>50.021388888888893</v>
      </c>
      <c r="I27" s="17"/>
    </row>
    <row r="28" spans="2:10" ht="18" customHeight="1"/>
    <row r="29" spans="2:10" ht="18" customHeight="1">
      <c r="B29" s="88" t="s">
        <v>33</v>
      </c>
      <c r="C29" s="88"/>
      <c r="D29" s="88"/>
      <c r="E29" s="88"/>
      <c r="G29" s="88" t="s">
        <v>33</v>
      </c>
      <c r="H29" s="88"/>
      <c r="I29" s="88"/>
      <c r="J29" s="88"/>
    </row>
    <row r="30" spans="2:10" ht="18" customHeight="1">
      <c r="B30" s="19" t="s">
        <v>34</v>
      </c>
      <c r="C30" s="20"/>
      <c r="D30" s="20"/>
      <c r="E30" s="21"/>
      <c r="G30" s="19" t="s">
        <v>34</v>
      </c>
      <c r="H30" s="20"/>
      <c r="I30" s="20"/>
      <c r="J30" s="21"/>
    </row>
    <row r="31" spans="2:10" ht="18" customHeight="1">
      <c r="B31" s="19"/>
      <c r="C31" s="22"/>
      <c r="D31" s="22"/>
      <c r="E31" s="23"/>
      <c r="G31" s="19"/>
      <c r="H31" s="22"/>
      <c r="I31" s="22"/>
      <c r="J31" s="23"/>
    </row>
    <row r="32" spans="2:10" ht="18" customHeight="1">
      <c r="B32" s="24"/>
      <c r="C32" s="25"/>
      <c r="D32" s="25"/>
      <c r="E32" s="26"/>
      <c r="G32" s="24"/>
      <c r="H32" s="25"/>
      <c r="I32" s="25"/>
      <c r="J32" s="26"/>
    </row>
    <row r="33" spans="2:10" ht="18" customHeight="1">
      <c r="B33" s="27"/>
      <c r="C33" s="28"/>
      <c r="D33" s="28"/>
      <c r="E33" s="29"/>
      <c r="G33" s="27"/>
      <c r="H33" s="28"/>
      <c r="I33" s="28"/>
      <c r="J33" s="29"/>
    </row>
    <row r="34" spans="2:10" ht="18" customHeight="1">
      <c r="B34" s="24"/>
      <c r="C34" s="25"/>
      <c r="D34" s="25"/>
      <c r="E34" s="26"/>
      <c r="G34" s="24"/>
      <c r="H34" s="25"/>
      <c r="I34" s="25"/>
      <c r="J34" s="26"/>
    </row>
    <row r="35" spans="2:10" ht="18" customHeight="1"/>
  </sheetData>
  <mergeCells count="8">
    <mergeCell ref="B29:E29"/>
    <mergeCell ref="G29:J29"/>
    <mergeCell ref="B2:E2"/>
    <mergeCell ref="G2:J2"/>
    <mergeCell ref="B3:E3"/>
    <mergeCell ref="G3:J3"/>
    <mergeCell ref="B4:E4"/>
    <mergeCell ref="G4:J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6"/>
  <sheetViews>
    <sheetView zoomScale="67" zoomScaleNormal="67" workbookViewId="0">
      <selection activeCell="B27" sqref="B27"/>
    </sheetView>
  </sheetViews>
  <sheetFormatPr defaultColWidth="8.5703125" defaultRowHeight="14.25"/>
  <cols>
    <col min="1" max="1" width="2" style="2" customWidth="1"/>
    <col min="2" max="2" width="21" style="2" customWidth="1"/>
    <col min="3" max="3" width="10.5703125" style="2" customWidth="1"/>
    <col min="4" max="4" width="19.28515625" style="2" customWidth="1"/>
    <col min="5" max="5" width="13.7109375" style="2" customWidth="1"/>
    <col min="6" max="6" width="8.5703125" style="2"/>
    <col min="7" max="7" width="21" style="2" customWidth="1"/>
    <col min="8" max="8" width="10.5703125" style="2" customWidth="1"/>
    <col min="9" max="9" width="19.28515625" style="2" customWidth="1"/>
    <col min="10" max="10" width="13.7109375" style="2" customWidth="1"/>
    <col min="11" max="16384" width="8.5703125" style="2"/>
  </cols>
  <sheetData>
    <row r="1" spans="2:10" ht="18" customHeight="1"/>
    <row r="2" spans="2:10" ht="18" customHeight="1">
      <c r="B2" s="94" t="s">
        <v>35</v>
      </c>
      <c r="C2" s="94"/>
      <c r="D2" s="94"/>
      <c r="E2" s="94"/>
      <c r="G2" s="94" t="s">
        <v>36</v>
      </c>
      <c r="H2" s="94"/>
      <c r="I2" s="94"/>
      <c r="J2" s="94"/>
    </row>
    <row r="3" spans="2:10" ht="18" customHeight="1">
      <c r="B3" s="98" t="s">
        <v>37</v>
      </c>
      <c r="C3" s="98"/>
      <c r="D3" s="98"/>
      <c r="E3" s="98"/>
      <c r="G3" s="97"/>
      <c r="H3" s="97"/>
      <c r="I3" s="97"/>
      <c r="J3" s="97"/>
    </row>
    <row r="4" spans="2:10" ht="18" customHeight="1">
      <c r="B4" s="91" t="s">
        <v>38</v>
      </c>
      <c r="C4" s="91"/>
      <c r="D4" s="91"/>
      <c r="E4" s="91"/>
      <c r="G4" s="97"/>
      <c r="H4" s="97"/>
      <c r="I4" s="97"/>
      <c r="J4" s="97"/>
    </row>
    <row r="5" spans="2:10" ht="18" customHeight="1"/>
    <row r="6" spans="2:10" ht="18" customHeight="1">
      <c r="B6" s="3" t="s">
        <v>5</v>
      </c>
      <c r="C6" s="3" t="s">
        <v>6</v>
      </c>
      <c r="D6" s="3" t="s">
        <v>7</v>
      </c>
      <c r="E6" s="3"/>
      <c r="G6" s="3" t="s">
        <v>5</v>
      </c>
      <c r="H6" s="3" t="s">
        <v>6</v>
      </c>
      <c r="I6" s="3" t="s">
        <v>7</v>
      </c>
      <c r="J6" s="3"/>
    </row>
    <row r="7" spans="2:10" ht="18" customHeight="1">
      <c r="B7" s="4" t="s">
        <v>8</v>
      </c>
      <c r="C7" s="5">
        <v>17</v>
      </c>
      <c r="D7" s="4" t="s">
        <v>9</v>
      </c>
      <c r="E7" s="6" t="s">
        <v>10</v>
      </c>
      <c r="G7" s="4" t="s">
        <v>8</v>
      </c>
      <c r="H7" s="5">
        <v>17</v>
      </c>
      <c r="I7" s="4" t="s">
        <v>9</v>
      </c>
      <c r="J7" s="6" t="s">
        <v>10</v>
      </c>
    </row>
    <row r="8" spans="2:10" ht="18" customHeight="1">
      <c r="B8" s="4" t="s">
        <v>11</v>
      </c>
      <c r="C8" s="5">
        <v>0</v>
      </c>
      <c r="D8" s="4" t="s">
        <v>12</v>
      </c>
      <c r="E8" s="6" t="s">
        <v>13</v>
      </c>
      <c r="G8" s="4" t="s">
        <v>11</v>
      </c>
      <c r="H8" s="5">
        <v>0</v>
      </c>
      <c r="I8" s="4" t="s">
        <v>12</v>
      </c>
      <c r="J8" s="6" t="s">
        <v>13</v>
      </c>
    </row>
    <row r="9" spans="2:10" ht="18" customHeight="1">
      <c r="B9" s="4" t="s">
        <v>14</v>
      </c>
      <c r="C9" s="5">
        <v>0</v>
      </c>
      <c r="D9" s="4" t="s">
        <v>39</v>
      </c>
      <c r="E9" s="6" t="s">
        <v>40</v>
      </c>
      <c r="G9" s="4" t="s">
        <v>14</v>
      </c>
      <c r="H9" s="5">
        <v>0</v>
      </c>
      <c r="I9" s="4" t="s">
        <v>39</v>
      </c>
      <c r="J9" s="6" t="s">
        <v>41</v>
      </c>
    </row>
    <row r="10" spans="2:10" ht="18" customHeight="1">
      <c r="B10" s="4" t="s">
        <v>15</v>
      </c>
      <c r="C10" s="5">
        <f>C7-C9+C8</f>
        <v>17</v>
      </c>
      <c r="D10" s="6"/>
      <c r="E10" s="6"/>
      <c r="G10" s="4" t="s">
        <v>15</v>
      </c>
      <c r="H10" s="5">
        <f>H7-H9+H8</f>
        <v>17</v>
      </c>
      <c r="I10" s="6"/>
      <c r="J10" s="6"/>
    </row>
    <row r="11" spans="2:10" ht="18" customHeight="1"/>
    <row r="12" spans="2:10" ht="18" customHeight="1">
      <c r="B12" s="7" t="s">
        <v>15</v>
      </c>
      <c r="C12" s="7" t="s">
        <v>16</v>
      </c>
      <c r="D12" s="8" t="s">
        <v>17</v>
      </c>
      <c r="E12" s="7"/>
      <c r="G12" s="7" t="s">
        <v>15</v>
      </c>
      <c r="H12" s="7" t="s">
        <v>16</v>
      </c>
      <c r="I12" s="8" t="s">
        <v>17</v>
      </c>
      <c r="J12" s="7"/>
    </row>
    <row r="13" spans="2:10" ht="18" customHeight="1">
      <c r="B13" s="4" t="s">
        <v>18</v>
      </c>
      <c r="C13" s="5">
        <v>7.55</v>
      </c>
      <c r="D13" s="9">
        <f>C13/C16</f>
        <v>0.97419354838709671</v>
      </c>
      <c r="E13" s="4"/>
      <c r="G13" s="4" t="s">
        <v>18</v>
      </c>
      <c r="H13" s="5">
        <v>19.34</v>
      </c>
      <c r="I13" s="9">
        <f>H13/H16</f>
        <v>0.97824987354577642</v>
      </c>
      <c r="J13" s="4"/>
    </row>
    <row r="14" spans="2:10" ht="18" customHeight="1">
      <c r="B14" s="4" t="s">
        <v>19</v>
      </c>
      <c r="C14" s="5">
        <v>0.2</v>
      </c>
      <c r="D14" s="9">
        <f>C14/C16</f>
        <v>2.5806451612903226E-2</v>
      </c>
      <c r="E14" s="4"/>
      <c r="G14" s="4" t="s">
        <v>19</v>
      </c>
      <c r="H14" s="5">
        <v>0.13</v>
      </c>
      <c r="I14" s="9">
        <f>H14/H16</f>
        <v>6.5756196256954984E-3</v>
      </c>
      <c r="J14" s="4"/>
    </row>
    <row r="15" spans="2:10" ht="18" customHeight="1">
      <c r="B15" s="4" t="s">
        <v>20</v>
      </c>
      <c r="C15" s="5">
        <v>0</v>
      </c>
      <c r="D15" s="9">
        <f>C15/C16</f>
        <v>0</v>
      </c>
      <c r="E15" s="4"/>
      <c r="G15" s="4" t="s">
        <v>20</v>
      </c>
      <c r="H15" s="5">
        <v>0.3</v>
      </c>
      <c r="I15" s="9">
        <f>H15/H16</f>
        <v>1.5174506828528073E-2</v>
      </c>
      <c r="J15" s="4"/>
    </row>
    <row r="16" spans="2:10" ht="18" customHeight="1">
      <c r="B16" s="10" t="s">
        <v>21</v>
      </c>
      <c r="C16" s="11">
        <f>SUM(C13:C15)</f>
        <v>7.75</v>
      </c>
      <c r="D16" s="12"/>
      <c r="E16" s="10"/>
      <c r="G16" s="10" t="s">
        <v>21</v>
      </c>
      <c r="H16" s="11">
        <f>SUM(H13:H15)</f>
        <v>19.77</v>
      </c>
      <c r="I16" s="12"/>
      <c r="J16" s="10"/>
    </row>
    <row r="17" spans="2:10" ht="18" customHeight="1">
      <c r="D17" s="13"/>
      <c r="I17" s="13"/>
    </row>
    <row r="18" spans="2:10" ht="18" customHeight="1">
      <c r="B18" s="7" t="s">
        <v>14</v>
      </c>
      <c r="C18" s="7" t="s">
        <v>16</v>
      </c>
      <c r="D18" s="14" t="s">
        <v>22</v>
      </c>
      <c r="E18" s="7"/>
      <c r="G18" s="7" t="s">
        <v>14</v>
      </c>
      <c r="H18" s="7" t="s">
        <v>16</v>
      </c>
      <c r="I18" s="14" t="s">
        <v>22</v>
      </c>
      <c r="J18" s="7"/>
    </row>
    <row r="19" spans="2:10" ht="18" customHeight="1">
      <c r="B19" s="4" t="s">
        <v>23</v>
      </c>
      <c r="C19" s="5">
        <v>3.09</v>
      </c>
      <c r="D19" s="9">
        <f>C19/C22</f>
        <v>1</v>
      </c>
      <c r="E19" s="4"/>
      <c r="G19" s="4" t="s">
        <v>23</v>
      </c>
      <c r="H19" s="5">
        <v>27.23</v>
      </c>
      <c r="I19" s="9">
        <f>H19/H22</f>
        <v>0.99597659107534753</v>
      </c>
      <c r="J19" s="4"/>
    </row>
    <row r="20" spans="2:10" ht="18" customHeight="1">
      <c r="B20" s="4" t="s">
        <v>24</v>
      </c>
      <c r="C20" s="5">
        <v>0</v>
      </c>
      <c r="D20" s="9">
        <f>C20/C22</f>
        <v>0</v>
      </c>
      <c r="E20" s="4"/>
      <c r="G20" s="4" t="s">
        <v>24</v>
      </c>
      <c r="H20" s="5">
        <v>0.11</v>
      </c>
      <c r="I20" s="9">
        <f>H20/H22</f>
        <v>4.0234089246525238E-3</v>
      </c>
      <c r="J20" s="4"/>
    </row>
    <row r="21" spans="2:10" ht="18" customHeight="1">
      <c r="B21" s="4" t="s">
        <v>25</v>
      </c>
      <c r="C21" s="5">
        <v>0</v>
      </c>
      <c r="D21" s="9">
        <f>C21/C22</f>
        <v>0</v>
      </c>
      <c r="E21" s="4"/>
      <c r="G21" s="4" t="s">
        <v>25</v>
      </c>
      <c r="H21" s="5">
        <v>0</v>
      </c>
      <c r="I21" s="9">
        <f>H21/H22</f>
        <v>0</v>
      </c>
      <c r="J21" s="4"/>
    </row>
    <row r="22" spans="2:10" ht="18" customHeight="1">
      <c r="B22" s="10" t="s">
        <v>26</v>
      </c>
      <c r="C22" s="11">
        <f>SUM(C19:C21)</f>
        <v>3.09</v>
      </c>
      <c r="D22" s="12"/>
      <c r="E22" s="10"/>
      <c r="G22" s="10" t="s">
        <v>26</v>
      </c>
      <c r="H22" s="11">
        <f>SUM(H19:H21)</f>
        <v>27.34</v>
      </c>
      <c r="I22" s="12"/>
      <c r="J22" s="10"/>
    </row>
    <row r="23" spans="2:10" ht="18" customHeight="1">
      <c r="D23" s="13"/>
      <c r="I23" s="13"/>
    </row>
    <row r="24" spans="2:10" ht="18" customHeight="1">
      <c r="B24" s="7" t="s">
        <v>27</v>
      </c>
      <c r="C24" s="7" t="s">
        <v>16</v>
      </c>
      <c r="D24" s="14" t="s">
        <v>28</v>
      </c>
      <c r="E24" s="7"/>
      <c r="G24" s="7" t="s">
        <v>42</v>
      </c>
      <c r="H24" s="7" t="s">
        <v>16</v>
      </c>
      <c r="I24" s="14" t="s">
        <v>28</v>
      </c>
      <c r="J24" s="7"/>
    </row>
    <row r="25" spans="2:10" ht="18" customHeight="1">
      <c r="B25" s="4" t="s">
        <v>43</v>
      </c>
      <c r="C25" s="5">
        <v>0.61</v>
      </c>
      <c r="D25" s="9">
        <f>C25/C28</f>
        <v>0.5</v>
      </c>
      <c r="E25" s="4"/>
      <c r="G25" s="4" t="s">
        <v>43</v>
      </c>
      <c r="H25" s="5">
        <v>0</v>
      </c>
      <c r="I25" s="9">
        <f>H25/H28</f>
        <v>0</v>
      </c>
      <c r="J25" s="4"/>
    </row>
    <row r="26" spans="2:10" ht="18" customHeight="1">
      <c r="B26" s="4" t="s">
        <v>44</v>
      </c>
      <c r="C26" s="5">
        <v>0.61</v>
      </c>
      <c r="D26" s="9">
        <f>C26/C28</f>
        <v>0.5</v>
      </c>
      <c r="E26" s="4"/>
      <c r="G26" s="4" t="s">
        <v>44</v>
      </c>
      <c r="H26" s="5">
        <v>0.79</v>
      </c>
      <c r="I26" s="9">
        <f>H26/H28</f>
        <v>0.92941176470588227</v>
      </c>
      <c r="J26" s="4"/>
    </row>
    <row r="27" spans="2:10" ht="18" customHeight="1">
      <c r="B27" s="4" t="s">
        <v>45</v>
      </c>
      <c r="C27" s="5">
        <v>0</v>
      </c>
      <c r="D27" s="9">
        <f>C27/C28</f>
        <v>0</v>
      </c>
      <c r="E27" s="4"/>
      <c r="G27" s="4" t="s">
        <v>45</v>
      </c>
      <c r="H27" s="5">
        <v>0.06</v>
      </c>
      <c r="I27" s="9">
        <f>H27/H28</f>
        <v>7.0588235294117632E-2</v>
      </c>
      <c r="J27" s="4"/>
    </row>
    <row r="28" spans="2:10" ht="18" customHeight="1">
      <c r="B28" s="10" t="s">
        <v>31</v>
      </c>
      <c r="C28" s="11">
        <f>SUM(C25:C27)</f>
        <v>1.22</v>
      </c>
      <c r="D28" s="12"/>
      <c r="E28" s="10"/>
      <c r="G28" s="10" t="s">
        <v>31</v>
      </c>
      <c r="H28" s="11">
        <f>SUM(H25:H27)</f>
        <v>0.85000000000000009</v>
      </c>
      <c r="I28" s="12"/>
      <c r="J28" s="10"/>
    </row>
    <row r="29" spans="2:10" ht="18" customHeight="1">
      <c r="B29" s="15" t="s">
        <v>32</v>
      </c>
      <c r="C29" s="16">
        <f>C28+C22+C16</f>
        <v>12.059999999999999</v>
      </c>
      <c r="D29" s="17"/>
      <c r="E29" s="18"/>
      <c r="F29" s="18"/>
      <c r="G29" s="15" t="s">
        <v>32</v>
      </c>
      <c r="H29" s="16">
        <f>H28+H22+H16</f>
        <v>47.96</v>
      </c>
      <c r="I29" s="17"/>
    </row>
    <row r="30" spans="2:10" ht="18" customHeight="1"/>
    <row r="31" spans="2:10" ht="18" customHeight="1">
      <c r="B31" s="88" t="s">
        <v>33</v>
      </c>
      <c r="C31" s="88"/>
      <c r="D31" s="88"/>
      <c r="E31" s="88"/>
      <c r="G31" s="88" t="s">
        <v>33</v>
      </c>
      <c r="H31" s="88"/>
      <c r="I31" s="88"/>
      <c r="J31" s="88"/>
    </row>
    <row r="32" spans="2:10" ht="18" customHeight="1">
      <c r="B32" s="19" t="s">
        <v>46</v>
      </c>
      <c r="C32" s="20"/>
      <c r="D32" s="20"/>
      <c r="E32" s="21"/>
      <c r="G32" s="19" t="s">
        <v>47</v>
      </c>
      <c r="H32" s="20"/>
      <c r="I32" s="20"/>
      <c r="J32" s="21"/>
    </row>
    <row r="33" spans="2:10" ht="18" customHeight="1">
      <c r="B33" s="19" t="s">
        <v>48</v>
      </c>
      <c r="C33" s="22"/>
      <c r="D33" s="22"/>
      <c r="E33" s="23"/>
      <c r="G33" s="19"/>
      <c r="H33" s="22"/>
      <c r="I33" s="22"/>
      <c r="J33" s="23"/>
    </row>
    <row r="34" spans="2:10" ht="18" customHeight="1">
      <c r="B34" s="24"/>
      <c r="C34" s="25"/>
      <c r="D34" s="25"/>
      <c r="E34" s="26"/>
      <c r="G34" s="24"/>
      <c r="H34" s="25"/>
      <c r="I34" s="25"/>
      <c r="J34" s="26"/>
    </row>
    <row r="35" spans="2:10" ht="18" customHeight="1">
      <c r="B35" s="27"/>
      <c r="C35" s="28"/>
      <c r="D35" s="28"/>
      <c r="E35" s="29"/>
      <c r="G35" s="27"/>
      <c r="H35" s="28"/>
      <c r="I35" s="28"/>
      <c r="J35" s="29"/>
    </row>
    <row r="36" spans="2:10">
      <c r="B36" s="24"/>
      <c r="C36" s="25"/>
      <c r="D36" s="25"/>
      <c r="E36" s="26"/>
      <c r="G36" s="24"/>
      <c r="H36" s="25"/>
      <c r="I36" s="25"/>
      <c r="J36" s="26"/>
    </row>
  </sheetData>
  <mergeCells count="7">
    <mergeCell ref="B31:E31"/>
    <mergeCell ref="G31:J31"/>
    <mergeCell ref="B2:E2"/>
    <mergeCell ref="G2:J2"/>
    <mergeCell ref="B3:E3"/>
    <mergeCell ref="G3:J4"/>
    <mergeCell ref="B4:E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5"/>
  <sheetViews>
    <sheetView topLeftCell="A5" zoomScale="68" zoomScaleNormal="68" workbookViewId="0">
      <selection activeCell="L3" sqref="L3:O3"/>
    </sheetView>
  </sheetViews>
  <sheetFormatPr defaultColWidth="8.5703125" defaultRowHeight="14.25"/>
  <cols>
    <col min="1" max="1" width="2" style="2" customWidth="1"/>
    <col min="2" max="2" width="21" style="2" customWidth="1"/>
    <col min="3" max="3" width="10.5703125" style="2" customWidth="1"/>
    <col min="4" max="4" width="20.42578125" style="2" customWidth="1"/>
    <col min="5" max="5" width="13.7109375" style="2" customWidth="1"/>
    <col min="6" max="6" width="8.5703125" style="2"/>
    <col min="7" max="7" width="21" style="2" customWidth="1"/>
    <col min="8" max="8" width="10.5703125" style="2" customWidth="1"/>
    <col min="9" max="9" width="20.42578125" style="2" customWidth="1"/>
    <col min="10" max="10" width="13.7109375" style="2" customWidth="1"/>
    <col min="11" max="11" width="8.5703125" style="2"/>
    <col min="12" max="12" width="21" style="2" customWidth="1"/>
    <col min="13" max="13" width="10.5703125" style="2" customWidth="1"/>
    <col min="14" max="14" width="20.42578125" style="2" customWidth="1"/>
    <col min="15" max="15" width="13.7109375" style="2" customWidth="1"/>
    <col min="16" max="16" width="8.5703125" style="2"/>
    <col min="17" max="17" width="21" style="2" customWidth="1"/>
    <col min="18" max="18" width="10.5703125" style="2" customWidth="1"/>
    <col min="19" max="19" width="19.28515625" style="2" customWidth="1"/>
    <col min="20" max="20" width="13.7109375" style="2" customWidth="1"/>
    <col min="21" max="16384" width="8.5703125" style="2"/>
  </cols>
  <sheetData>
    <row r="1" spans="2:20" ht="18" customHeight="1"/>
    <row r="2" spans="2:20" ht="18" customHeight="1">
      <c r="B2" s="94" t="s">
        <v>35</v>
      </c>
      <c r="C2" s="94"/>
      <c r="D2" s="94"/>
      <c r="E2" s="94"/>
      <c r="G2" s="94" t="s">
        <v>49</v>
      </c>
      <c r="H2" s="94"/>
      <c r="I2" s="94"/>
      <c r="J2" s="94"/>
      <c r="L2" s="94" t="s">
        <v>50</v>
      </c>
      <c r="M2" s="94"/>
      <c r="N2" s="94"/>
      <c r="O2" s="94"/>
      <c r="Q2" s="95"/>
      <c r="R2" s="95"/>
      <c r="S2" s="95"/>
      <c r="T2" s="95"/>
    </row>
    <row r="3" spans="2:20" ht="18" customHeight="1">
      <c r="B3" s="96" t="s">
        <v>47</v>
      </c>
      <c r="C3" s="96"/>
      <c r="D3" s="96"/>
      <c r="E3" s="96"/>
      <c r="G3" s="96" t="s">
        <v>47</v>
      </c>
      <c r="H3" s="96"/>
      <c r="I3" s="96"/>
      <c r="J3" s="96"/>
      <c r="L3" s="96" t="s">
        <v>47</v>
      </c>
      <c r="M3" s="96"/>
      <c r="N3" s="96"/>
      <c r="O3" s="96"/>
      <c r="Q3" s="93"/>
      <c r="R3" s="93"/>
      <c r="S3" s="93"/>
      <c r="T3" s="93"/>
    </row>
    <row r="4" spans="2:20" ht="18" customHeight="1">
      <c r="B4" s="91"/>
      <c r="C4" s="91"/>
      <c r="D4" s="91"/>
      <c r="E4" s="91"/>
      <c r="G4" s="92"/>
      <c r="H4" s="92"/>
      <c r="I4" s="92"/>
      <c r="J4" s="92"/>
      <c r="L4" s="92"/>
      <c r="M4" s="92"/>
      <c r="N4" s="92"/>
      <c r="O4" s="92"/>
      <c r="Q4" s="93"/>
      <c r="R4" s="93"/>
      <c r="S4" s="93"/>
      <c r="T4" s="93"/>
    </row>
    <row r="5" spans="2:20" ht="18" customHeight="1"/>
    <row r="6" spans="2:20" ht="18" customHeight="1">
      <c r="B6" s="3" t="s">
        <v>5</v>
      </c>
      <c r="C6" s="3" t="s">
        <v>6</v>
      </c>
      <c r="D6" s="3" t="s">
        <v>7</v>
      </c>
      <c r="E6" s="3"/>
      <c r="G6" s="3" t="s">
        <v>5</v>
      </c>
      <c r="H6" s="3" t="s">
        <v>6</v>
      </c>
      <c r="I6" s="3" t="s">
        <v>7</v>
      </c>
      <c r="J6" s="3"/>
      <c r="L6" s="3" t="s">
        <v>5</v>
      </c>
      <c r="M6" s="3" t="s">
        <v>6</v>
      </c>
      <c r="N6" s="3" t="s">
        <v>7</v>
      </c>
      <c r="O6" s="3"/>
      <c r="Q6" s="30"/>
      <c r="R6" s="30"/>
      <c r="S6" s="30"/>
      <c r="T6" s="30"/>
    </row>
    <row r="7" spans="2:20" ht="18" customHeight="1">
      <c r="B7" s="4" t="s">
        <v>8</v>
      </c>
      <c r="C7" s="5">
        <v>17</v>
      </c>
      <c r="D7" s="4" t="s">
        <v>9</v>
      </c>
      <c r="E7" s="6" t="s">
        <v>10</v>
      </c>
      <c r="G7" s="4" t="s">
        <v>8</v>
      </c>
      <c r="H7" s="5">
        <v>17</v>
      </c>
      <c r="I7" s="4" t="s">
        <v>9</v>
      </c>
      <c r="J7" s="6" t="s">
        <v>10</v>
      </c>
      <c r="L7" s="4" t="s">
        <v>8</v>
      </c>
      <c r="M7" s="5">
        <v>17</v>
      </c>
      <c r="N7" s="4" t="s">
        <v>9</v>
      </c>
      <c r="O7" s="6" t="s">
        <v>10</v>
      </c>
      <c r="Q7" s="31"/>
      <c r="R7" s="32"/>
      <c r="S7" s="31"/>
      <c r="T7" s="33"/>
    </row>
    <row r="8" spans="2:20" ht="18" customHeight="1">
      <c r="B8" s="4" t="s">
        <v>11</v>
      </c>
      <c r="C8" s="5">
        <v>0</v>
      </c>
      <c r="D8" s="4" t="s">
        <v>12</v>
      </c>
      <c r="E8" s="6" t="s">
        <v>13</v>
      </c>
      <c r="G8" s="4" t="s">
        <v>11</v>
      </c>
      <c r="H8" s="5">
        <v>0</v>
      </c>
      <c r="I8" s="4" t="s">
        <v>12</v>
      </c>
      <c r="J8" s="6" t="s">
        <v>13</v>
      </c>
      <c r="L8" s="4" t="s">
        <v>11</v>
      </c>
      <c r="M8" s="5">
        <v>0</v>
      </c>
      <c r="N8" s="4" t="s">
        <v>12</v>
      </c>
      <c r="O8" s="6" t="s">
        <v>13</v>
      </c>
      <c r="Q8" s="31"/>
      <c r="R8" s="32"/>
      <c r="S8" s="31"/>
      <c r="T8" s="33"/>
    </row>
    <row r="9" spans="2:20" ht="18" customHeight="1">
      <c r="B9" s="4" t="s">
        <v>14</v>
      </c>
      <c r="C9" s="5">
        <v>0</v>
      </c>
      <c r="D9" s="4" t="s">
        <v>39</v>
      </c>
      <c r="E9" s="6" t="s">
        <v>51</v>
      </c>
      <c r="G9" s="4" t="s">
        <v>14</v>
      </c>
      <c r="H9" s="5">
        <v>0</v>
      </c>
      <c r="I9" s="4" t="s">
        <v>39</v>
      </c>
      <c r="J9" s="6" t="s">
        <v>52</v>
      </c>
      <c r="L9" s="4" t="s">
        <v>14</v>
      </c>
      <c r="M9" s="5">
        <v>0</v>
      </c>
      <c r="N9" s="4" t="s">
        <v>39</v>
      </c>
      <c r="O9" s="6" t="s">
        <v>53</v>
      </c>
      <c r="Q9" s="31"/>
      <c r="R9" s="32"/>
      <c r="S9" s="31"/>
      <c r="T9" s="33"/>
    </row>
    <row r="10" spans="2:20" ht="18" customHeight="1">
      <c r="B10" s="4" t="s">
        <v>15</v>
      </c>
      <c r="C10" s="5">
        <f>C7-C9+C8</f>
        <v>17</v>
      </c>
      <c r="D10" s="4" t="s">
        <v>54</v>
      </c>
      <c r="E10" s="6">
        <v>882</v>
      </c>
      <c r="G10" s="4" t="s">
        <v>15</v>
      </c>
      <c r="H10" s="5">
        <f>H7-H9+H8</f>
        <v>17</v>
      </c>
      <c r="I10" s="4" t="s">
        <v>54</v>
      </c>
      <c r="J10" s="6">
        <v>882</v>
      </c>
      <c r="L10" s="4" t="s">
        <v>15</v>
      </c>
      <c r="M10" s="5">
        <f>M7-M9+M8</f>
        <v>17</v>
      </c>
      <c r="N10" s="4" t="s">
        <v>54</v>
      </c>
      <c r="O10" s="6">
        <v>882</v>
      </c>
      <c r="Q10" s="31"/>
      <c r="R10" s="32"/>
      <c r="S10" s="31"/>
      <c r="T10" s="33"/>
    </row>
    <row r="11" spans="2:20" ht="18" customHeight="1"/>
    <row r="12" spans="2:20" ht="18" customHeight="1">
      <c r="B12" s="7" t="s">
        <v>15</v>
      </c>
      <c r="C12" s="7" t="s">
        <v>16</v>
      </c>
      <c r="D12" s="8" t="s">
        <v>17</v>
      </c>
      <c r="E12" s="7"/>
      <c r="G12" s="7" t="s">
        <v>15</v>
      </c>
      <c r="H12" s="7" t="s">
        <v>16</v>
      </c>
      <c r="I12" s="8" t="s">
        <v>17</v>
      </c>
      <c r="J12" s="7"/>
      <c r="L12" s="7" t="s">
        <v>15</v>
      </c>
      <c r="M12" s="7" t="s">
        <v>16</v>
      </c>
      <c r="N12" s="8" t="s">
        <v>17</v>
      </c>
      <c r="O12" s="7"/>
      <c r="Q12" s="34"/>
      <c r="R12" s="34"/>
      <c r="S12" s="35"/>
      <c r="T12" s="34"/>
    </row>
    <row r="13" spans="2:20" ht="18" customHeight="1">
      <c r="B13" s="4" t="s">
        <v>18</v>
      </c>
      <c r="C13" s="5">
        <v>6.96</v>
      </c>
      <c r="D13" s="9">
        <f>C13/C16</f>
        <v>0.9802816901408451</v>
      </c>
      <c r="E13" s="4"/>
      <c r="G13" s="4" t="s">
        <v>18</v>
      </c>
      <c r="H13" s="5">
        <v>33.340000000000003</v>
      </c>
      <c r="I13" s="9">
        <f>H13/H16</f>
        <v>0.9302455357142857</v>
      </c>
      <c r="J13" s="4"/>
      <c r="L13" s="4" t="s">
        <v>18</v>
      </c>
      <c r="M13" s="5">
        <v>3.04</v>
      </c>
      <c r="N13" s="9">
        <f>M13/M16</f>
        <v>0.76767676767676774</v>
      </c>
      <c r="O13" s="4"/>
      <c r="Q13" s="31"/>
      <c r="R13" s="32"/>
      <c r="S13" s="36"/>
      <c r="T13" s="31"/>
    </row>
    <row r="14" spans="2:20" ht="18" customHeight="1">
      <c r="B14" s="4" t="s">
        <v>19</v>
      </c>
      <c r="C14" s="5">
        <v>0</v>
      </c>
      <c r="D14" s="9">
        <f>C14/C16</f>
        <v>0</v>
      </c>
      <c r="E14" s="4"/>
      <c r="G14" s="4" t="s">
        <v>19</v>
      </c>
      <c r="H14" s="5">
        <v>1.65</v>
      </c>
      <c r="I14" s="9">
        <f>H14/H16</f>
        <v>4.6037946428571425E-2</v>
      </c>
      <c r="J14" s="4"/>
      <c r="L14" s="4" t="s">
        <v>19</v>
      </c>
      <c r="M14" s="5">
        <v>0.83</v>
      </c>
      <c r="N14" s="9">
        <f>M14/M16</f>
        <v>0.20959595959595959</v>
      </c>
      <c r="O14" s="4"/>
      <c r="Q14" s="31"/>
      <c r="R14" s="32"/>
      <c r="S14" s="36"/>
      <c r="T14" s="31"/>
    </row>
    <row r="15" spans="2:20" ht="18" customHeight="1">
      <c r="B15" s="4" t="s">
        <v>20</v>
      </c>
      <c r="C15" s="5">
        <v>0.14000000000000001</v>
      </c>
      <c r="D15" s="9">
        <f>C15/C16</f>
        <v>1.9718309859154931E-2</v>
      </c>
      <c r="E15" s="4"/>
      <c r="G15" s="4" t="s">
        <v>20</v>
      </c>
      <c r="H15" s="5">
        <v>0.85</v>
      </c>
      <c r="I15" s="9">
        <f>H15/H16</f>
        <v>2.3716517857142853E-2</v>
      </c>
      <c r="J15" s="4"/>
      <c r="L15" s="4" t="s">
        <v>20</v>
      </c>
      <c r="M15" s="5">
        <v>0.09</v>
      </c>
      <c r="N15" s="9">
        <f>M15/M16</f>
        <v>2.2727272727272728E-2</v>
      </c>
      <c r="O15" s="4"/>
      <c r="Q15" s="31"/>
      <c r="R15" s="32"/>
      <c r="S15" s="36"/>
      <c r="T15" s="31"/>
    </row>
    <row r="16" spans="2:20" ht="18" customHeight="1">
      <c r="B16" s="10" t="s">
        <v>21</v>
      </c>
      <c r="C16" s="11">
        <f>SUM(C13:C15)</f>
        <v>7.1</v>
      </c>
      <c r="D16" s="12"/>
      <c r="E16" s="10"/>
      <c r="G16" s="10" t="s">
        <v>21</v>
      </c>
      <c r="H16" s="11">
        <f>SUM(H13:H15)</f>
        <v>35.840000000000003</v>
      </c>
      <c r="I16" s="12"/>
      <c r="J16" s="10"/>
      <c r="L16" s="10" t="s">
        <v>21</v>
      </c>
      <c r="M16" s="11">
        <f>SUM(M13:M15)</f>
        <v>3.96</v>
      </c>
      <c r="N16" s="12"/>
      <c r="O16" s="10"/>
      <c r="Q16" s="31"/>
      <c r="R16" s="32"/>
      <c r="S16" s="37"/>
      <c r="T16" s="31"/>
    </row>
    <row r="17" spans="2:20" ht="18" customHeight="1">
      <c r="D17" s="13"/>
      <c r="I17" s="13"/>
      <c r="N17" s="13"/>
    </row>
    <row r="18" spans="2:20" ht="18" customHeight="1">
      <c r="B18" s="7" t="s">
        <v>14</v>
      </c>
      <c r="C18" s="7" t="s">
        <v>16</v>
      </c>
      <c r="D18" s="14" t="s">
        <v>22</v>
      </c>
      <c r="E18" s="7"/>
      <c r="G18" s="7" t="s">
        <v>14</v>
      </c>
      <c r="H18" s="7" t="s">
        <v>16</v>
      </c>
      <c r="I18" s="14" t="s">
        <v>22</v>
      </c>
      <c r="J18" s="7"/>
      <c r="L18" s="7" t="s">
        <v>14</v>
      </c>
      <c r="M18" s="7" t="s">
        <v>16</v>
      </c>
      <c r="N18" s="14" t="s">
        <v>22</v>
      </c>
      <c r="O18" s="7"/>
      <c r="Q18" s="34"/>
      <c r="R18" s="34"/>
      <c r="S18" s="35"/>
      <c r="T18" s="34"/>
    </row>
    <row r="19" spans="2:20" ht="18" customHeight="1">
      <c r="B19" s="4" t="s">
        <v>23</v>
      </c>
      <c r="C19" s="5">
        <v>1.48</v>
      </c>
      <c r="D19" s="9">
        <f>C19/C22</f>
        <v>0.90797546012269947</v>
      </c>
      <c r="E19" s="4"/>
      <c r="G19" s="4" t="s">
        <v>23</v>
      </c>
      <c r="H19" s="5">
        <v>43.58</v>
      </c>
      <c r="I19" s="9">
        <f>H19/H22</f>
        <v>0.99293688767372967</v>
      </c>
      <c r="J19" s="4"/>
      <c r="L19" s="4" t="s">
        <v>23</v>
      </c>
      <c r="M19" s="5">
        <v>2.0699999999999998</v>
      </c>
      <c r="N19" s="9">
        <f>M19/M22</f>
        <v>1</v>
      </c>
      <c r="O19" s="4"/>
      <c r="Q19" s="31"/>
      <c r="R19" s="32"/>
      <c r="S19" s="36"/>
      <c r="T19" s="31"/>
    </row>
    <row r="20" spans="2:20" ht="18" customHeight="1">
      <c r="B20" s="4" t="s">
        <v>24</v>
      </c>
      <c r="C20" s="5">
        <v>0.15</v>
      </c>
      <c r="D20" s="9">
        <f>C20/C22</f>
        <v>9.202453987730061E-2</v>
      </c>
      <c r="E20" s="4"/>
      <c r="G20" s="4" t="s">
        <v>24</v>
      </c>
      <c r="H20" s="5">
        <v>0.21</v>
      </c>
      <c r="I20" s="9">
        <f>H20/H22</f>
        <v>4.7846889952153108E-3</v>
      </c>
      <c r="J20" s="4"/>
      <c r="L20" s="4" t="s">
        <v>24</v>
      </c>
      <c r="M20" s="5">
        <v>0</v>
      </c>
      <c r="N20" s="9">
        <f>M20/M22</f>
        <v>0</v>
      </c>
      <c r="O20" s="4"/>
      <c r="Q20" s="31"/>
      <c r="R20" s="32"/>
      <c r="S20" s="36"/>
      <c r="T20" s="31"/>
    </row>
    <row r="21" spans="2:20" ht="18" customHeight="1">
      <c r="B21" s="4" t="s">
        <v>25</v>
      </c>
      <c r="C21" s="5">
        <v>0</v>
      </c>
      <c r="D21" s="9">
        <f>C21/C22</f>
        <v>0</v>
      </c>
      <c r="E21" s="4"/>
      <c r="G21" s="4" t="s">
        <v>25</v>
      </c>
      <c r="H21" s="5">
        <v>0.1</v>
      </c>
      <c r="I21" s="9">
        <f>H21/H22</f>
        <v>2.27842333105491E-3</v>
      </c>
      <c r="J21" s="4"/>
      <c r="L21" s="4" t="s">
        <v>25</v>
      </c>
      <c r="M21" s="5">
        <v>0</v>
      </c>
      <c r="N21" s="9">
        <f>M21/M22</f>
        <v>0</v>
      </c>
      <c r="O21" s="4"/>
      <c r="Q21" s="31"/>
      <c r="R21" s="32"/>
      <c r="S21" s="36"/>
      <c r="T21" s="31"/>
    </row>
    <row r="22" spans="2:20" ht="18" customHeight="1">
      <c r="B22" s="10" t="s">
        <v>26</v>
      </c>
      <c r="C22" s="11">
        <f>SUM(C19:C21)</f>
        <v>1.63</v>
      </c>
      <c r="D22" s="12"/>
      <c r="E22" s="10"/>
      <c r="G22" s="10" t="s">
        <v>26</v>
      </c>
      <c r="H22" s="11">
        <f>SUM(H19:H21)</f>
        <v>43.89</v>
      </c>
      <c r="I22" s="12"/>
      <c r="J22" s="10"/>
      <c r="L22" s="10" t="s">
        <v>26</v>
      </c>
      <c r="M22" s="11">
        <f>SUM(M19:M21)</f>
        <v>2.0699999999999998</v>
      </c>
      <c r="N22" s="12"/>
      <c r="O22" s="10"/>
      <c r="Q22" s="31"/>
      <c r="R22" s="32"/>
      <c r="S22" s="37"/>
      <c r="T22" s="31"/>
    </row>
    <row r="23" spans="2:20" ht="18" customHeight="1">
      <c r="D23" s="13"/>
      <c r="I23" s="13"/>
      <c r="N23" s="13"/>
    </row>
    <row r="24" spans="2:20" ht="18" customHeight="1">
      <c r="B24" s="7" t="s">
        <v>42</v>
      </c>
      <c r="C24" s="7" t="s">
        <v>16</v>
      </c>
      <c r="D24" s="14" t="s">
        <v>28</v>
      </c>
      <c r="E24" s="7"/>
      <c r="G24" s="7" t="s">
        <v>42</v>
      </c>
      <c r="H24" s="7" t="s">
        <v>16</v>
      </c>
      <c r="I24" s="14" t="s">
        <v>28</v>
      </c>
      <c r="J24" s="7"/>
      <c r="L24" s="7" t="s">
        <v>42</v>
      </c>
      <c r="M24" s="7" t="s">
        <v>16</v>
      </c>
      <c r="N24" s="14" t="s">
        <v>28</v>
      </c>
      <c r="O24" s="7"/>
      <c r="Q24" s="34"/>
      <c r="R24" s="34"/>
      <c r="S24" s="35"/>
      <c r="T24" s="34"/>
    </row>
    <row r="25" spans="2:20" ht="18" customHeight="1">
      <c r="B25" s="4" t="s">
        <v>43</v>
      </c>
      <c r="C25" s="5">
        <v>0</v>
      </c>
      <c r="D25" s="9">
        <f>C25/C28</f>
        <v>0</v>
      </c>
      <c r="E25" s="4"/>
      <c r="G25" s="4" t="s">
        <v>43</v>
      </c>
      <c r="H25" s="5">
        <v>2.23</v>
      </c>
      <c r="I25" s="9">
        <f>H25/H28</f>
        <v>0.94092827004219426</v>
      </c>
      <c r="J25" s="4"/>
      <c r="L25" s="4" t="s">
        <v>43</v>
      </c>
      <c r="M25" s="5">
        <v>0.28999999999999998</v>
      </c>
      <c r="N25" s="9">
        <f>M25/M28</f>
        <v>0.20863309352517984</v>
      </c>
      <c r="O25" s="4"/>
      <c r="Q25" s="31"/>
      <c r="R25" s="32"/>
      <c r="S25" s="36"/>
      <c r="T25" s="31"/>
    </row>
    <row r="26" spans="2:20" ht="18" customHeight="1">
      <c r="B26" s="4" t="s">
        <v>44</v>
      </c>
      <c r="C26" s="5">
        <v>1.65</v>
      </c>
      <c r="D26" s="9">
        <f>C26/C28</f>
        <v>1</v>
      </c>
      <c r="E26" s="4"/>
      <c r="G26" s="4" t="s">
        <v>44</v>
      </c>
      <c r="H26" s="5">
        <v>0.09</v>
      </c>
      <c r="I26" s="9">
        <f>H26/H28</f>
        <v>3.7974683544303799E-2</v>
      </c>
      <c r="J26" s="4"/>
      <c r="L26" s="4" t="s">
        <v>44</v>
      </c>
      <c r="M26" s="5">
        <v>1.1000000000000001</v>
      </c>
      <c r="N26" s="9">
        <f>M26/M28</f>
        <v>0.79136690647482011</v>
      </c>
      <c r="O26" s="4"/>
      <c r="Q26" s="31"/>
      <c r="R26" s="32"/>
      <c r="S26" s="36"/>
      <c r="T26" s="31"/>
    </row>
    <row r="27" spans="2:20" ht="18" customHeight="1">
      <c r="B27" s="4" t="s">
        <v>45</v>
      </c>
      <c r="C27" s="5">
        <v>0</v>
      </c>
      <c r="D27" s="9">
        <f>C27/C28</f>
        <v>0</v>
      </c>
      <c r="E27" s="4"/>
      <c r="G27" s="4" t="s">
        <v>45</v>
      </c>
      <c r="H27" s="5">
        <v>0.05</v>
      </c>
      <c r="I27" s="9">
        <f>H27/H28</f>
        <v>2.1097046413502112E-2</v>
      </c>
      <c r="J27" s="4"/>
      <c r="L27" s="4" t="s">
        <v>45</v>
      </c>
      <c r="M27" s="5">
        <v>0</v>
      </c>
      <c r="N27" s="9">
        <f>M27/M28</f>
        <v>0</v>
      </c>
      <c r="O27" s="4"/>
      <c r="Q27" s="31"/>
      <c r="R27" s="32"/>
      <c r="S27" s="36"/>
      <c r="T27" s="31"/>
    </row>
    <row r="28" spans="2:20" ht="18" customHeight="1">
      <c r="B28" s="10" t="s">
        <v>31</v>
      </c>
      <c r="C28" s="11">
        <f>SUM(C25:C27)</f>
        <v>1.65</v>
      </c>
      <c r="D28" s="12"/>
      <c r="E28" s="10"/>
      <c r="G28" s="10" t="s">
        <v>31</v>
      </c>
      <c r="H28" s="11">
        <f>SUM(H25:H27)</f>
        <v>2.3699999999999997</v>
      </c>
      <c r="I28" s="12"/>
      <c r="J28" s="10"/>
      <c r="L28" s="10" t="s">
        <v>31</v>
      </c>
      <c r="M28" s="11">
        <f>SUM(M25:M27)</f>
        <v>1.3900000000000001</v>
      </c>
      <c r="N28" s="12"/>
      <c r="O28" s="10"/>
      <c r="Q28" s="31"/>
      <c r="R28" s="32"/>
      <c r="S28" s="37"/>
      <c r="T28" s="31"/>
    </row>
    <row r="29" spans="2:20" ht="18" customHeight="1">
      <c r="B29" s="15" t="s">
        <v>32</v>
      </c>
      <c r="C29" s="16">
        <f>C28+C22+C16</f>
        <v>10.379999999999999</v>
      </c>
      <c r="D29" s="1"/>
      <c r="G29" s="15" t="s">
        <v>32</v>
      </c>
      <c r="H29" s="16">
        <f>H28+H22+H16</f>
        <v>82.1</v>
      </c>
      <c r="I29" s="1"/>
      <c r="L29" s="15" t="s">
        <v>32</v>
      </c>
      <c r="M29" s="16">
        <f>M28+M22+M16</f>
        <v>7.42</v>
      </c>
      <c r="N29" s="1"/>
      <c r="Q29" s="1"/>
      <c r="R29" s="1"/>
      <c r="S29" s="1"/>
    </row>
    <row r="30" spans="2:20" ht="18" customHeight="1">
      <c r="B30" s="17"/>
      <c r="C30" s="39"/>
      <c r="D30" s="1"/>
      <c r="F30" s="83"/>
      <c r="G30" s="17"/>
      <c r="H30" s="39"/>
      <c r="I30" s="1"/>
      <c r="L30" s="17"/>
      <c r="M30" s="39"/>
      <c r="N30" s="1"/>
      <c r="Q30" s="1"/>
      <c r="R30" s="1"/>
      <c r="S30" s="1"/>
    </row>
    <row r="31" spans="2:20" ht="18" customHeight="1">
      <c r="B31" s="7"/>
      <c r="C31" s="7" t="s">
        <v>55</v>
      </c>
      <c r="D31" s="7"/>
      <c r="E31" s="7"/>
      <c r="G31" s="7"/>
      <c r="H31" s="7" t="s">
        <v>56</v>
      </c>
      <c r="I31" s="7"/>
      <c r="J31" s="7"/>
      <c r="L31" s="7"/>
      <c r="M31" s="7" t="s">
        <v>57</v>
      </c>
      <c r="N31" s="7"/>
      <c r="O31" s="7"/>
      <c r="Q31" s="1"/>
      <c r="R31" s="1"/>
      <c r="S31" s="1"/>
    </row>
    <row r="32" spans="2:20" ht="18" customHeight="1">
      <c r="B32" s="4" t="s">
        <v>58</v>
      </c>
      <c r="C32" s="40">
        <f>C13/(C13+C20+C25)</f>
        <v>0.97890295358649781</v>
      </c>
      <c r="D32" s="4"/>
      <c r="E32" s="4"/>
      <c r="G32" s="4" t="s">
        <v>58</v>
      </c>
      <c r="H32" s="40">
        <f>H13/(H13+H20+H25)</f>
        <v>0.93180547792062607</v>
      </c>
      <c r="I32" s="4"/>
      <c r="J32" s="4"/>
      <c r="L32" s="4" t="s">
        <v>58</v>
      </c>
      <c r="M32" s="40">
        <f>M13/(M13+M20+M25)</f>
        <v>0.91291291291291288</v>
      </c>
      <c r="N32" s="4"/>
      <c r="O32" s="4"/>
      <c r="Q32" s="1"/>
      <c r="R32" s="1"/>
      <c r="S32" s="1"/>
    </row>
    <row r="33" spans="2:20" ht="18" customHeight="1">
      <c r="B33" s="4" t="s">
        <v>59</v>
      </c>
      <c r="C33" s="40">
        <f>C19/(C19+C14+C25)</f>
        <v>1</v>
      </c>
      <c r="D33" s="4"/>
      <c r="E33" s="4"/>
      <c r="G33" s="4" t="s">
        <v>59</v>
      </c>
      <c r="H33" s="40">
        <f>H19/(H19+H14+H25)</f>
        <v>0.91824694479561741</v>
      </c>
      <c r="I33" s="4"/>
      <c r="J33" s="4"/>
      <c r="L33" s="4" t="s">
        <v>59</v>
      </c>
      <c r="M33" s="40">
        <f>M19/(M19+M14+M25)</f>
        <v>0.64890282131661436</v>
      </c>
      <c r="N33" s="4"/>
      <c r="O33" s="4"/>
      <c r="Q33" s="1"/>
      <c r="R33" s="1"/>
      <c r="S33" s="1"/>
    </row>
    <row r="34" spans="2:20" ht="18" customHeight="1">
      <c r="Q34" s="100"/>
      <c r="R34" s="100"/>
      <c r="S34" s="100"/>
      <c r="T34" s="100"/>
    </row>
    <row r="35" spans="2:20" ht="18" customHeight="1">
      <c r="B35" s="88" t="s">
        <v>33</v>
      </c>
      <c r="C35" s="88"/>
      <c r="D35" s="88"/>
      <c r="E35" s="88"/>
      <c r="G35" s="88" t="s">
        <v>33</v>
      </c>
      <c r="H35" s="88"/>
      <c r="I35" s="88"/>
      <c r="J35" s="88"/>
      <c r="L35" s="88" t="s">
        <v>33</v>
      </c>
      <c r="M35" s="88"/>
      <c r="N35" s="88"/>
      <c r="O35" s="88"/>
      <c r="Q35" s="89"/>
      <c r="R35" s="89"/>
      <c r="S35" s="89"/>
      <c r="T35" s="89"/>
    </row>
    <row r="36" spans="2:20" ht="18" customHeight="1">
      <c r="B36" s="19"/>
      <c r="C36" s="20"/>
      <c r="D36" s="20"/>
      <c r="E36" s="21"/>
      <c r="G36" s="19"/>
      <c r="H36" s="20"/>
      <c r="I36" s="20"/>
      <c r="J36" s="21"/>
      <c r="L36" s="19" t="s">
        <v>60</v>
      </c>
      <c r="M36" s="20"/>
      <c r="N36" s="20"/>
      <c r="O36" s="21"/>
      <c r="Q36" s="89"/>
      <c r="R36" s="89"/>
      <c r="S36" s="89"/>
      <c r="T36" s="89"/>
    </row>
    <row r="37" spans="2:20" ht="18" customHeight="1">
      <c r="B37" s="19"/>
      <c r="C37" s="22"/>
      <c r="D37" s="22"/>
      <c r="E37" s="23"/>
      <c r="G37" s="19"/>
      <c r="H37" s="22"/>
      <c r="I37" s="22"/>
      <c r="J37" s="23"/>
      <c r="L37" s="19"/>
      <c r="M37" s="22"/>
      <c r="N37" s="22"/>
      <c r="O37" s="23"/>
      <c r="Q37" s="90"/>
      <c r="R37" s="90"/>
      <c r="S37" s="90"/>
      <c r="T37" s="90"/>
    </row>
    <row r="38" spans="2:20" ht="18" customHeight="1">
      <c r="B38" s="24"/>
      <c r="C38" s="25"/>
      <c r="D38" s="25"/>
      <c r="E38" s="26"/>
      <c r="G38" s="24"/>
      <c r="H38" s="25"/>
      <c r="I38" s="25"/>
      <c r="J38" s="26"/>
      <c r="L38" s="24"/>
      <c r="M38" s="25"/>
      <c r="N38" s="25"/>
      <c r="O38" s="26"/>
      <c r="Q38" s="38"/>
      <c r="R38" s="38"/>
      <c r="S38" s="38"/>
      <c r="T38" s="38"/>
    </row>
    <row r="39" spans="2:20" ht="18" customHeight="1">
      <c r="B39" s="27"/>
      <c r="C39" s="28"/>
      <c r="D39" s="28"/>
      <c r="E39" s="29"/>
      <c r="G39" s="27"/>
      <c r="H39" s="28"/>
      <c r="I39" s="28"/>
      <c r="J39" s="29"/>
      <c r="L39" s="27"/>
      <c r="M39" s="28"/>
      <c r="N39" s="28"/>
      <c r="O39" s="29"/>
      <c r="Q39" s="90"/>
      <c r="R39" s="90"/>
      <c r="S39" s="90"/>
      <c r="T39" s="90"/>
    </row>
    <row r="40" spans="2:20">
      <c r="B40" s="24"/>
      <c r="C40" s="25"/>
      <c r="D40" s="25"/>
      <c r="E40" s="26"/>
      <c r="G40" s="24"/>
      <c r="H40" s="25"/>
      <c r="I40" s="25"/>
      <c r="J40" s="26"/>
      <c r="L40" s="24"/>
      <c r="M40" s="25"/>
      <c r="N40" s="25"/>
      <c r="O40" s="26"/>
    </row>
    <row r="42" spans="2:20">
      <c r="B42" s="83"/>
      <c r="C42" s="83">
        <f>C29+H29+M29</f>
        <v>99.899999999999991</v>
      </c>
    </row>
    <row r="43" spans="2:20">
      <c r="B43" s="2">
        <v>1.8</v>
      </c>
      <c r="C43" s="2">
        <f>M29/C42*100</f>
        <v>7.4274274274274283</v>
      </c>
    </row>
    <row r="44" spans="2:20">
      <c r="B44" s="2">
        <v>4</v>
      </c>
      <c r="C44" s="2">
        <f>H29/C42*100</f>
        <v>82.182182182182189</v>
      </c>
    </row>
    <row r="45" spans="2:20">
      <c r="B45" s="2">
        <v>6.3</v>
      </c>
      <c r="C45" s="2">
        <f>C29/C42*100</f>
        <v>10.39039039039039</v>
      </c>
    </row>
  </sheetData>
  <mergeCells count="20">
    <mergeCell ref="B2:E2"/>
    <mergeCell ref="G2:J2"/>
    <mergeCell ref="L2:O2"/>
    <mergeCell ref="Q2:T2"/>
    <mergeCell ref="B3:E3"/>
    <mergeCell ref="G3:J3"/>
    <mergeCell ref="L3:O3"/>
    <mergeCell ref="Q3:T3"/>
    <mergeCell ref="B4:E4"/>
    <mergeCell ref="G4:J4"/>
    <mergeCell ref="L4:O4"/>
    <mergeCell ref="Q4:T4"/>
    <mergeCell ref="Q34:T34"/>
    <mergeCell ref="Q37:T37"/>
    <mergeCell ref="Q39:T39"/>
    <mergeCell ref="B35:E35"/>
    <mergeCell ref="G35:J35"/>
    <mergeCell ref="L35:O35"/>
    <mergeCell ref="Q35:T35"/>
    <mergeCell ref="Q36:T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40"/>
  <sheetViews>
    <sheetView topLeftCell="B1" zoomScale="94" zoomScaleNormal="66" workbookViewId="0">
      <selection activeCell="L3" sqref="L3:O3"/>
    </sheetView>
  </sheetViews>
  <sheetFormatPr defaultColWidth="8.5703125" defaultRowHeight="14.25"/>
  <cols>
    <col min="1" max="1" width="2" style="2" customWidth="1"/>
    <col min="2" max="2" width="21" style="2" customWidth="1"/>
    <col min="3" max="3" width="10.5703125" style="2" customWidth="1"/>
    <col min="4" max="4" width="19.28515625" style="2" customWidth="1"/>
    <col min="5" max="5" width="13.7109375" style="2" customWidth="1"/>
    <col min="6" max="6" width="8.5703125" style="2"/>
    <col min="7" max="7" width="21" style="2" customWidth="1"/>
    <col min="8" max="8" width="10.5703125" style="2" customWidth="1"/>
    <col min="9" max="9" width="19.28515625" style="2" customWidth="1"/>
    <col min="10" max="10" width="15" style="2" customWidth="1"/>
    <col min="11" max="11" width="8.5703125" style="2"/>
    <col min="12" max="12" width="21" style="2" customWidth="1"/>
    <col min="13" max="13" width="10.5703125" style="2" customWidth="1"/>
    <col min="14" max="14" width="19.28515625" style="2" customWidth="1"/>
    <col min="15" max="15" width="13.7109375" style="2" customWidth="1"/>
    <col min="16" max="16" width="8.5703125" style="2"/>
    <col min="17" max="17" width="21" style="2" customWidth="1"/>
    <col min="18" max="18" width="10.5703125" style="2" customWidth="1"/>
    <col min="19" max="19" width="19.28515625" style="2" customWidth="1"/>
    <col min="20" max="20" width="13.7109375" style="2" customWidth="1"/>
    <col min="21" max="16384" width="8.5703125" style="2"/>
  </cols>
  <sheetData>
    <row r="1" spans="2:20" ht="18" customHeight="1"/>
    <row r="2" spans="2:20" ht="18" customHeight="1">
      <c r="B2" s="94" t="s">
        <v>35</v>
      </c>
      <c r="C2" s="94"/>
      <c r="D2" s="94"/>
      <c r="E2" s="94"/>
      <c r="G2" s="94" t="s">
        <v>49</v>
      </c>
      <c r="H2" s="94"/>
      <c r="I2" s="94"/>
      <c r="J2" s="94"/>
      <c r="L2" s="94" t="s">
        <v>50</v>
      </c>
      <c r="M2" s="94"/>
      <c r="N2" s="94"/>
      <c r="O2" s="94"/>
      <c r="Q2" s="95"/>
      <c r="R2" s="95"/>
      <c r="S2" s="95"/>
      <c r="T2" s="95"/>
    </row>
    <row r="3" spans="2:20" ht="18" customHeight="1">
      <c r="B3" s="96" t="s">
        <v>47</v>
      </c>
      <c r="C3" s="96"/>
      <c r="D3" s="96"/>
      <c r="E3" s="96"/>
      <c r="G3" s="96" t="s">
        <v>47</v>
      </c>
      <c r="H3" s="96"/>
      <c r="I3" s="96"/>
      <c r="J3" s="96"/>
      <c r="L3" s="96" t="s">
        <v>47</v>
      </c>
      <c r="M3" s="96"/>
      <c r="N3" s="96"/>
      <c r="O3" s="96"/>
      <c r="Q3" s="93"/>
      <c r="R3" s="93"/>
      <c r="S3" s="93"/>
      <c r="T3" s="93"/>
    </row>
    <row r="4" spans="2:20" ht="18" customHeight="1">
      <c r="B4" s="91"/>
      <c r="C4" s="91"/>
      <c r="D4" s="91"/>
      <c r="E4" s="91"/>
      <c r="G4" s="92"/>
      <c r="H4" s="92"/>
      <c r="I4" s="92"/>
      <c r="J4" s="92"/>
      <c r="L4" s="92"/>
      <c r="M4" s="92"/>
      <c r="N4" s="92"/>
      <c r="O4" s="92"/>
      <c r="Q4" s="93"/>
      <c r="R4" s="93"/>
      <c r="S4" s="93"/>
      <c r="T4" s="93"/>
    </row>
    <row r="5" spans="2:20" ht="18" customHeight="1"/>
    <row r="6" spans="2:20" ht="18" customHeight="1">
      <c r="B6" s="3" t="s">
        <v>5</v>
      </c>
      <c r="C6" s="3" t="s">
        <v>6</v>
      </c>
      <c r="D6" s="3" t="s">
        <v>7</v>
      </c>
      <c r="E6" s="3"/>
      <c r="G6" s="3" t="s">
        <v>5</v>
      </c>
      <c r="H6" s="3" t="s">
        <v>6</v>
      </c>
      <c r="I6" s="3" t="s">
        <v>7</v>
      </c>
      <c r="J6" s="3"/>
      <c r="L6" s="3" t="s">
        <v>5</v>
      </c>
      <c r="M6" s="3" t="s">
        <v>6</v>
      </c>
      <c r="N6" s="3" t="s">
        <v>7</v>
      </c>
      <c r="O6" s="3"/>
      <c r="Q6" s="30"/>
      <c r="R6" s="30"/>
      <c r="S6" s="30"/>
      <c r="T6" s="30"/>
    </row>
    <row r="7" spans="2:20" ht="18" customHeight="1">
      <c r="B7" s="4" t="s">
        <v>8</v>
      </c>
      <c r="C7" s="5">
        <v>17</v>
      </c>
      <c r="D7" s="4" t="s">
        <v>9</v>
      </c>
      <c r="E7" s="6" t="s">
        <v>10</v>
      </c>
      <c r="G7" s="4" t="s">
        <v>8</v>
      </c>
      <c r="H7" s="5">
        <v>17</v>
      </c>
      <c r="I7" s="4" t="s">
        <v>9</v>
      </c>
      <c r="J7" s="6" t="s">
        <v>10</v>
      </c>
      <c r="L7" s="4" t="s">
        <v>8</v>
      </c>
      <c r="M7" s="5">
        <v>17</v>
      </c>
      <c r="N7" s="4" t="s">
        <v>9</v>
      </c>
      <c r="O7" s="6" t="s">
        <v>10</v>
      </c>
      <c r="Q7" s="31"/>
      <c r="R7" s="32"/>
      <c r="S7" s="31"/>
      <c r="T7" s="33"/>
    </row>
    <row r="8" spans="2:20" ht="18" customHeight="1">
      <c r="B8" s="4" t="s">
        <v>11</v>
      </c>
      <c r="C8" s="5">
        <v>0</v>
      </c>
      <c r="D8" s="4" t="s">
        <v>12</v>
      </c>
      <c r="E8" s="6" t="s">
        <v>13</v>
      </c>
      <c r="G8" s="4" t="s">
        <v>11</v>
      </c>
      <c r="H8" s="5">
        <v>0</v>
      </c>
      <c r="I8" s="4" t="s">
        <v>12</v>
      </c>
      <c r="J8" s="6" t="s">
        <v>13</v>
      </c>
      <c r="L8" s="4" t="s">
        <v>11</v>
      </c>
      <c r="M8" s="5">
        <v>0</v>
      </c>
      <c r="N8" s="4" t="s">
        <v>12</v>
      </c>
      <c r="O8" s="6" t="s">
        <v>13</v>
      </c>
      <c r="Q8" s="31"/>
      <c r="R8" s="32"/>
      <c r="S8" s="31"/>
      <c r="T8" s="33"/>
    </row>
    <row r="9" spans="2:20" ht="18" customHeight="1">
      <c r="B9" s="4" t="s">
        <v>14</v>
      </c>
      <c r="C9" s="5">
        <v>0</v>
      </c>
      <c r="D9" s="4" t="s">
        <v>39</v>
      </c>
      <c r="E9" s="6" t="s">
        <v>51</v>
      </c>
      <c r="G9" s="4" t="s">
        <v>14</v>
      </c>
      <c r="H9" s="5">
        <v>0</v>
      </c>
      <c r="I9" s="4" t="s">
        <v>39</v>
      </c>
      <c r="J9" s="6" t="s">
        <v>52</v>
      </c>
      <c r="L9" s="4" t="s">
        <v>14</v>
      </c>
      <c r="M9" s="5">
        <v>0</v>
      </c>
      <c r="N9" s="4" t="s">
        <v>39</v>
      </c>
      <c r="O9" s="6" t="s">
        <v>53</v>
      </c>
      <c r="Q9" s="31"/>
      <c r="R9" s="32"/>
      <c r="S9" s="31"/>
      <c r="T9" s="33"/>
    </row>
    <row r="10" spans="2:20" ht="18" customHeight="1">
      <c r="B10" s="4" t="s">
        <v>15</v>
      </c>
      <c r="C10" s="5">
        <f>C7-C9+C8</f>
        <v>17</v>
      </c>
      <c r="D10" s="4" t="s">
        <v>54</v>
      </c>
      <c r="E10" s="6">
        <v>883</v>
      </c>
      <c r="G10" s="4" t="s">
        <v>15</v>
      </c>
      <c r="H10" s="5">
        <f>H7-H9+H8</f>
        <v>17</v>
      </c>
      <c r="I10" s="4" t="s">
        <v>54</v>
      </c>
      <c r="J10" s="6">
        <v>883</v>
      </c>
      <c r="L10" s="4" t="s">
        <v>15</v>
      </c>
      <c r="M10" s="5">
        <f>M7-M9+M8</f>
        <v>17</v>
      </c>
      <c r="N10" s="4" t="s">
        <v>54</v>
      </c>
      <c r="O10" s="6">
        <v>883</v>
      </c>
      <c r="Q10" s="31"/>
      <c r="R10" s="32"/>
      <c r="S10" s="31"/>
      <c r="T10" s="33"/>
    </row>
    <row r="11" spans="2:20" ht="18" customHeight="1"/>
    <row r="12" spans="2:20" ht="18" customHeight="1">
      <c r="B12" s="7" t="s">
        <v>15</v>
      </c>
      <c r="C12" s="7" t="s">
        <v>16</v>
      </c>
      <c r="D12" s="8" t="s">
        <v>17</v>
      </c>
      <c r="E12" s="7"/>
      <c r="G12" s="7" t="s">
        <v>15</v>
      </c>
      <c r="H12" s="7" t="s">
        <v>16</v>
      </c>
      <c r="I12" s="8" t="s">
        <v>17</v>
      </c>
      <c r="J12" s="7"/>
      <c r="L12" s="7" t="s">
        <v>15</v>
      </c>
      <c r="M12" s="7" t="s">
        <v>16</v>
      </c>
      <c r="N12" s="8" t="s">
        <v>17</v>
      </c>
      <c r="O12" s="7"/>
      <c r="Q12" s="34"/>
      <c r="R12" s="34"/>
      <c r="S12" s="35"/>
      <c r="T12" s="34"/>
    </row>
    <row r="13" spans="2:20" ht="18" customHeight="1">
      <c r="B13" s="4" t="s">
        <v>18</v>
      </c>
      <c r="C13" s="5">
        <v>50.17</v>
      </c>
      <c r="D13" s="9">
        <f>C13/C16</f>
        <v>0.99366211130917026</v>
      </c>
      <c r="E13" s="4"/>
      <c r="G13" s="4" t="s">
        <v>18</v>
      </c>
      <c r="H13" s="5">
        <v>33.78</v>
      </c>
      <c r="I13" s="9">
        <f>H13/H16</f>
        <v>0.91272629019184015</v>
      </c>
      <c r="J13" s="4"/>
      <c r="L13" s="4" t="s">
        <v>18</v>
      </c>
      <c r="M13" s="5">
        <v>44.8</v>
      </c>
      <c r="N13" s="9">
        <f>M13/M16</f>
        <v>0.75739644970414199</v>
      </c>
      <c r="O13" s="4"/>
      <c r="Q13" s="31"/>
      <c r="R13" s="32"/>
      <c r="S13" s="36"/>
      <c r="T13" s="31"/>
    </row>
    <row r="14" spans="2:20" ht="18" customHeight="1">
      <c r="B14" s="4" t="s">
        <v>19</v>
      </c>
      <c r="C14" s="5">
        <v>0.16</v>
      </c>
      <c r="D14" s="9">
        <f>C14/C16</f>
        <v>3.168944345414934E-3</v>
      </c>
      <c r="E14" s="4"/>
      <c r="G14" s="4" t="s">
        <v>19</v>
      </c>
      <c r="H14" s="5">
        <v>3.16</v>
      </c>
      <c r="I14" s="9">
        <f>H14/H16</f>
        <v>8.5382329100243182E-2</v>
      </c>
      <c r="J14" s="4"/>
      <c r="L14" s="4" t="s">
        <v>19</v>
      </c>
      <c r="M14" s="5">
        <v>13.9</v>
      </c>
      <c r="N14" s="9">
        <f>M14/M16</f>
        <v>0.23499577345731193</v>
      </c>
      <c r="O14" s="4"/>
      <c r="Q14" s="31"/>
      <c r="R14" s="32"/>
      <c r="S14" s="36"/>
      <c r="T14" s="31"/>
    </row>
    <row r="15" spans="2:20" ht="18" customHeight="1">
      <c r="B15" s="4" t="s">
        <v>20</v>
      </c>
      <c r="C15" s="5">
        <v>0.16</v>
      </c>
      <c r="D15" s="9">
        <f>C15/C16</f>
        <v>3.168944345414934E-3</v>
      </c>
      <c r="E15" s="4"/>
      <c r="G15" s="4" t="s">
        <v>20</v>
      </c>
      <c r="H15" s="5">
        <v>7.0000000000000007E-2</v>
      </c>
      <c r="I15" s="9">
        <f>H15/H16</f>
        <v>1.8913807079167795E-3</v>
      </c>
      <c r="J15" s="4"/>
      <c r="L15" s="4" t="s">
        <v>20</v>
      </c>
      <c r="M15" s="5">
        <v>0.45</v>
      </c>
      <c r="N15" s="9">
        <f>M15/M16</f>
        <v>7.6077768385460695E-3</v>
      </c>
      <c r="O15" s="4"/>
      <c r="Q15" s="31"/>
      <c r="R15" s="32"/>
      <c r="S15" s="36"/>
      <c r="T15" s="31"/>
    </row>
    <row r="16" spans="2:20" ht="18" customHeight="1">
      <c r="B16" s="10" t="s">
        <v>21</v>
      </c>
      <c r="C16" s="11">
        <f>SUM(C13:C15)</f>
        <v>50.489999999999995</v>
      </c>
      <c r="D16" s="12"/>
      <c r="E16" s="10"/>
      <c r="G16" s="10" t="s">
        <v>21</v>
      </c>
      <c r="H16" s="11">
        <f>SUM(H13:H15)</f>
        <v>37.01</v>
      </c>
      <c r="I16" s="12"/>
      <c r="J16" s="10"/>
      <c r="L16" s="10" t="s">
        <v>21</v>
      </c>
      <c r="M16" s="11">
        <f>SUM(M13:M15)</f>
        <v>59.15</v>
      </c>
      <c r="N16" s="12"/>
      <c r="O16" s="10"/>
      <c r="Q16" s="31"/>
      <c r="R16" s="32"/>
      <c r="S16" s="37"/>
      <c r="T16" s="31"/>
    </row>
    <row r="17" spans="2:20" ht="18" customHeight="1">
      <c r="D17" s="13"/>
      <c r="I17" s="13"/>
      <c r="N17" s="13"/>
    </row>
    <row r="18" spans="2:20" ht="18" customHeight="1">
      <c r="B18" s="7" t="s">
        <v>14</v>
      </c>
      <c r="C18" s="7" t="s">
        <v>16</v>
      </c>
      <c r="D18" s="14" t="s">
        <v>22</v>
      </c>
      <c r="E18" s="7"/>
      <c r="G18" s="7" t="s">
        <v>14</v>
      </c>
      <c r="H18" s="7" t="s">
        <v>16</v>
      </c>
      <c r="I18" s="14" t="s">
        <v>22</v>
      </c>
      <c r="J18" s="7"/>
      <c r="L18" s="7" t="s">
        <v>14</v>
      </c>
      <c r="M18" s="7" t="s">
        <v>16</v>
      </c>
      <c r="N18" s="14" t="s">
        <v>22</v>
      </c>
      <c r="O18" s="7"/>
      <c r="Q18" s="34"/>
      <c r="R18" s="34"/>
      <c r="S18" s="35"/>
      <c r="T18" s="34"/>
    </row>
    <row r="19" spans="2:20" ht="18" customHeight="1">
      <c r="B19" s="4" t="s">
        <v>23</v>
      </c>
      <c r="C19" s="5">
        <v>46.8</v>
      </c>
      <c r="D19" s="9">
        <f>C19/C22</f>
        <v>1</v>
      </c>
      <c r="E19" s="4"/>
      <c r="G19" s="4" t="s">
        <v>23</v>
      </c>
      <c r="H19" s="5">
        <v>61.1</v>
      </c>
      <c r="I19" s="9">
        <f>H19/H22</f>
        <v>0.99592502037489816</v>
      </c>
      <c r="J19" s="4"/>
      <c r="L19" s="4" t="s">
        <v>23</v>
      </c>
      <c r="M19" s="5">
        <v>39.33</v>
      </c>
      <c r="N19" s="9">
        <f>M19/M22</f>
        <v>1</v>
      </c>
      <c r="O19" s="4"/>
      <c r="Q19" s="31"/>
      <c r="R19" s="32"/>
      <c r="S19" s="36"/>
      <c r="T19" s="31"/>
    </row>
    <row r="20" spans="2:20" ht="18" customHeight="1">
      <c r="B20" s="4" t="s">
        <v>24</v>
      </c>
      <c r="C20" s="5">
        <v>0</v>
      </c>
      <c r="D20" s="9">
        <f>C20/C22</f>
        <v>0</v>
      </c>
      <c r="E20" s="4"/>
      <c r="G20" s="4" t="s">
        <v>24</v>
      </c>
      <c r="H20" s="5">
        <v>0.25</v>
      </c>
      <c r="I20" s="9">
        <f>H20/H22</f>
        <v>4.0749796251018742E-3</v>
      </c>
      <c r="J20" s="4"/>
      <c r="L20" s="4" t="s">
        <v>24</v>
      </c>
      <c r="M20" s="5">
        <v>0</v>
      </c>
      <c r="N20" s="9">
        <f>M20/M22</f>
        <v>0</v>
      </c>
      <c r="O20" s="4"/>
      <c r="Q20" s="31"/>
      <c r="R20" s="32"/>
      <c r="S20" s="36"/>
      <c r="T20" s="31"/>
    </row>
    <row r="21" spans="2:20" ht="18" customHeight="1">
      <c r="B21" s="4" t="s">
        <v>25</v>
      </c>
      <c r="C21" s="5">
        <v>0</v>
      </c>
      <c r="D21" s="9">
        <f>C21/C22</f>
        <v>0</v>
      </c>
      <c r="E21" s="4"/>
      <c r="G21" s="4" t="s">
        <v>25</v>
      </c>
      <c r="H21" s="5">
        <v>0</v>
      </c>
      <c r="I21" s="9">
        <f>H21/H22</f>
        <v>0</v>
      </c>
      <c r="J21" s="4"/>
      <c r="L21" s="4" t="s">
        <v>25</v>
      </c>
      <c r="M21" s="5">
        <v>0</v>
      </c>
      <c r="N21" s="9">
        <f>M21/M22</f>
        <v>0</v>
      </c>
      <c r="O21" s="4"/>
      <c r="Q21" s="31"/>
      <c r="R21" s="32"/>
      <c r="S21" s="36"/>
      <c r="T21" s="31"/>
    </row>
    <row r="22" spans="2:20" ht="18" customHeight="1">
      <c r="B22" s="10" t="s">
        <v>26</v>
      </c>
      <c r="C22" s="11">
        <f>SUM(C19:C21)</f>
        <v>46.8</v>
      </c>
      <c r="D22" s="12"/>
      <c r="E22" s="10"/>
      <c r="G22" s="10" t="s">
        <v>26</v>
      </c>
      <c r="H22" s="11">
        <f>SUM(H19:H21)</f>
        <v>61.35</v>
      </c>
      <c r="I22" s="12"/>
      <c r="J22" s="10"/>
      <c r="L22" s="10" t="s">
        <v>26</v>
      </c>
      <c r="M22" s="11">
        <f>SUM(M19:M21)</f>
        <v>39.33</v>
      </c>
      <c r="N22" s="12"/>
      <c r="O22" s="10"/>
      <c r="Q22" s="31"/>
      <c r="R22" s="32"/>
      <c r="S22" s="37"/>
      <c r="T22" s="31"/>
    </row>
    <row r="23" spans="2:20" ht="18" customHeight="1">
      <c r="D23" s="13"/>
      <c r="I23" s="13"/>
      <c r="N23" s="13"/>
    </row>
    <row r="24" spans="2:20" ht="18" customHeight="1">
      <c r="B24" s="7" t="s">
        <v>42</v>
      </c>
      <c r="C24" s="7" t="s">
        <v>16</v>
      </c>
      <c r="D24" s="14" t="s">
        <v>28</v>
      </c>
      <c r="E24" s="7"/>
      <c r="G24" s="7" t="s">
        <v>42</v>
      </c>
      <c r="H24" s="7" t="s">
        <v>16</v>
      </c>
      <c r="I24" s="14" t="s">
        <v>28</v>
      </c>
      <c r="J24" s="7"/>
      <c r="L24" s="7" t="s">
        <v>42</v>
      </c>
      <c r="M24" s="7" t="s">
        <v>16</v>
      </c>
      <c r="N24" s="14" t="s">
        <v>28</v>
      </c>
      <c r="O24" s="7"/>
      <c r="Q24" s="34"/>
      <c r="R24" s="34"/>
      <c r="S24" s="35"/>
      <c r="T24" s="34"/>
    </row>
    <row r="25" spans="2:20" ht="18" customHeight="1">
      <c r="B25" s="4" t="s">
        <v>43</v>
      </c>
      <c r="C25" s="5">
        <v>0</v>
      </c>
      <c r="D25" s="9">
        <f>C25/C28</f>
        <v>0</v>
      </c>
      <c r="E25" s="4"/>
      <c r="G25" s="4" t="s">
        <v>43</v>
      </c>
      <c r="H25" s="5">
        <v>0.11</v>
      </c>
      <c r="I25" s="9">
        <v>0</v>
      </c>
      <c r="J25" s="4"/>
      <c r="L25" s="4" t="s">
        <v>43</v>
      </c>
      <c r="M25" s="5">
        <v>0.26</v>
      </c>
      <c r="N25" s="9">
        <f>M25/M28</f>
        <v>0.1768707482993197</v>
      </c>
      <c r="O25" s="4"/>
      <c r="Q25" s="31"/>
      <c r="R25" s="32"/>
      <c r="S25" s="36"/>
      <c r="T25" s="31"/>
    </row>
    <row r="26" spans="2:20" ht="18" customHeight="1">
      <c r="B26" s="4" t="s">
        <v>44</v>
      </c>
      <c r="C26" s="5">
        <v>2.68</v>
      </c>
      <c r="D26" s="9">
        <f>C26/C28</f>
        <v>0.95714285714285707</v>
      </c>
      <c r="E26" s="4"/>
      <c r="G26" s="4" t="s">
        <v>44</v>
      </c>
      <c r="H26" s="5">
        <v>1.74</v>
      </c>
      <c r="I26" s="9">
        <f>H26/H28</f>
        <v>0.94054054054054048</v>
      </c>
      <c r="J26" s="4"/>
      <c r="L26" s="4" t="s">
        <v>44</v>
      </c>
      <c r="M26" s="5">
        <v>1.1000000000000001</v>
      </c>
      <c r="N26" s="9">
        <f>M26/M28</f>
        <v>0.7482993197278911</v>
      </c>
      <c r="O26" s="4"/>
      <c r="Q26" s="31"/>
      <c r="R26" s="32"/>
      <c r="S26" s="36"/>
      <c r="T26" s="31"/>
    </row>
    <row r="27" spans="2:20" ht="18" customHeight="1">
      <c r="B27" s="4" t="s">
        <v>45</v>
      </c>
      <c r="C27" s="5">
        <v>0.12</v>
      </c>
      <c r="D27" s="9">
        <f>C27/C28</f>
        <v>4.2857142857142851E-2</v>
      </c>
      <c r="E27" s="4"/>
      <c r="G27" s="4" t="s">
        <v>45</v>
      </c>
      <c r="H27" s="5">
        <v>0</v>
      </c>
      <c r="I27" s="9">
        <f>H27/H28</f>
        <v>0</v>
      </c>
      <c r="J27" s="4"/>
      <c r="L27" s="4" t="s">
        <v>45</v>
      </c>
      <c r="M27" s="5">
        <v>0.11</v>
      </c>
      <c r="N27" s="9">
        <f>M27/M28</f>
        <v>7.4829931972789102E-2</v>
      </c>
      <c r="O27" s="4"/>
      <c r="Q27" s="31"/>
      <c r="R27" s="32"/>
      <c r="S27" s="36"/>
      <c r="T27" s="31"/>
    </row>
    <row r="28" spans="2:20" ht="18" customHeight="1">
      <c r="B28" s="10" t="s">
        <v>31</v>
      </c>
      <c r="C28" s="11">
        <f>SUM(C25:C27)</f>
        <v>2.8000000000000003</v>
      </c>
      <c r="D28" s="12"/>
      <c r="E28" s="10"/>
      <c r="G28" s="10" t="s">
        <v>31</v>
      </c>
      <c r="H28" s="11">
        <f>SUM(H25:H27)</f>
        <v>1.85</v>
      </c>
      <c r="I28" s="12"/>
      <c r="J28" s="10"/>
      <c r="L28" s="10" t="s">
        <v>31</v>
      </c>
      <c r="M28" s="11">
        <f>SUM(M25:M27)</f>
        <v>1.4700000000000002</v>
      </c>
      <c r="N28" s="12"/>
      <c r="O28" s="10"/>
      <c r="Q28" s="31"/>
      <c r="R28" s="32"/>
      <c r="S28" s="37"/>
      <c r="T28" s="31"/>
    </row>
    <row r="29" spans="2:20" ht="18" customHeight="1">
      <c r="B29" s="15" t="s">
        <v>32</v>
      </c>
      <c r="C29" s="16">
        <f>C28+C22+C16</f>
        <v>100.08999999999999</v>
      </c>
      <c r="D29" s="17"/>
      <c r="E29" s="18"/>
      <c r="F29" s="18"/>
      <c r="G29" s="15" t="s">
        <v>32</v>
      </c>
      <c r="H29" s="16">
        <f>H28+H22+H16</f>
        <v>100.21000000000001</v>
      </c>
      <c r="I29" s="17"/>
      <c r="J29" s="18"/>
      <c r="K29" s="18"/>
      <c r="L29" s="15" t="s">
        <v>32</v>
      </c>
      <c r="M29" s="16">
        <f>M28+M22+M16</f>
        <v>99.949999999999989</v>
      </c>
      <c r="N29" s="1"/>
      <c r="Q29" s="1"/>
      <c r="R29" s="1"/>
      <c r="S29" s="1"/>
    </row>
    <row r="30" spans="2:20" ht="18" customHeight="1">
      <c r="B30" s="17"/>
      <c r="C30" s="39"/>
      <c r="D30" s="17"/>
      <c r="E30" s="18"/>
      <c r="F30" s="18"/>
      <c r="G30" s="17"/>
      <c r="H30" s="39"/>
      <c r="I30" s="17"/>
      <c r="J30" s="18"/>
      <c r="K30" s="18"/>
      <c r="L30" s="17"/>
      <c r="M30" s="39"/>
      <c r="N30" s="1"/>
      <c r="Q30" s="1"/>
      <c r="R30" s="1"/>
      <c r="S30" s="1"/>
    </row>
    <row r="31" spans="2:20" ht="18" customHeight="1">
      <c r="B31" s="7"/>
      <c r="C31" s="7" t="s">
        <v>55</v>
      </c>
      <c r="D31" s="7"/>
      <c r="E31" s="7"/>
      <c r="F31" s="18"/>
      <c r="G31" s="7"/>
      <c r="H31" s="7" t="s">
        <v>61</v>
      </c>
      <c r="I31" s="7"/>
      <c r="J31" s="7"/>
      <c r="K31" s="18"/>
      <c r="L31" s="7"/>
      <c r="M31" s="7" t="s">
        <v>62</v>
      </c>
      <c r="N31" s="7"/>
      <c r="O31" s="7"/>
      <c r="Q31" s="1"/>
      <c r="R31" s="1"/>
      <c r="S31" s="1"/>
    </row>
    <row r="32" spans="2:20" ht="18" customHeight="1">
      <c r="B32" s="4" t="s">
        <v>58</v>
      </c>
      <c r="C32" s="40">
        <f>C13/(C13+C20+C25)</f>
        <v>1</v>
      </c>
      <c r="D32" s="4"/>
      <c r="E32" s="4"/>
      <c r="F32" s="18"/>
      <c r="G32" s="4" t="s">
        <v>58</v>
      </c>
      <c r="H32" s="40">
        <f>H13/(H13+H20+H25)</f>
        <v>0.98945518453427062</v>
      </c>
      <c r="I32" s="4"/>
      <c r="J32" s="4"/>
      <c r="K32" s="18"/>
      <c r="L32" s="4" t="s">
        <v>58</v>
      </c>
      <c r="M32" s="40">
        <f>M13/(M13+M20+M25)</f>
        <v>0.99422991566799823</v>
      </c>
      <c r="N32" s="4"/>
      <c r="O32" s="4"/>
      <c r="Q32" s="1"/>
      <c r="R32" s="1"/>
      <c r="S32" s="1"/>
    </row>
    <row r="33" spans="2:20" ht="18" customHeight="1">
      <c r="B33" s="4" t="s">
        <v>59</v>
      </c>
      <c r="C33" s="40">
        <f>C19/(C19+C14+C25)</f>
        <v>0.99659284497444645</v>
      </c>
      <c r="D33" s="4"/>
      <c r="E33" s="4"/>
      <c r="F33" s="18"/>
      <c r="G33" s="4" t="s">
        <v>59</v>
      </c>
      <c r="H33" s="40">
        <f>H19/(H19+H14+H25)</f>
        <v>0.94919993785925116</v>
      </c>
      <c r="I33" s="4"/>
      <c r="J33" s="4"/>
      <c r="K33" s="18"/>
      <c r="L33" s="4" t="s">
        <v>59</v>
      </c>
      <c r="M33" s="40">
        <f>M19/(M19+M14+M25)</f>
        <v>0.73527762198541791</v>
      </c>
      <c r="N33" s="4"/>
      <c r="O33" s="4"/>
      <c r="Q33" s="1"/>
      <c r="R33" s="1"/>
      <c r="S33" s="1"/>
    </row>
    <row r="34" spans="2:20" ht="18" customHeight="1">
      <c r="B34" s="17"/>
      <c r="C34" s="39"/>
      <c r="D34" s="17"/>
      <c r="E34" s="18"/>
      <c r="F34" s="18"/>
      <c r="G34" s="17"/>
      <c r="H34" s="39"/>
      <c r="I34" s="17"/>
      <c r="J34" s="18"/>
      <c r="K34" s="18"/>
      <c r="L34" s="17"/>
      <c r="M34" s="39"/>
      <c r="N34" s="1"/>
      <c r="Q34" s="1"/>
      <c r="R34" s="1"/>
      <c r="S34" s="1"/>
    </row>
    <row r="35" spans="2:20" ht="18" customHeight="1">
      <c r="B35" s="88" t="s">
        <v>33</v>
      </c>
      <c r="C35" s="88"/>
      <c r="D35" s="88"/>
      <c r="E35" s="88"/>
      <c r="G35" s="88" t="s">
        <v>33</v>
      </c>
      <c r="H35" s="88"/>
      <c r="I35" s="88"/>
      <c r="J35" s="88"/>
      <c r="L35" s="88" t="s">
        <v>33</v>
      </c>
      <c r="M35" s="88"/>
      <c r="N35" s="88"/>
      <c r="O35" s="88"/>
      <c r="Q35" s="89"/>
      <c r="R35" s="89"/>
      <c r="S35" s="89"/>
      <c r="T35" s="89"/>
    </row>
    <row r="36" spans="2:20" ht="18" customHeight="1">
      <c r="B36" s="19" t="s">
        <v>63</v>
      </c>
      <c r="C36" s="20"/>
      <c r="D36" s="20"/>
      <c r="E36" s="21"/>
      <c r="G36" s="19" t="s">
        <v>64</v>
      </c>
      <c r="H36" s="20"/>
      <c r="I36" s="20"/>
      <c r="J36" s="21"/>
      <c r="L36" s="19" t="s">
        <v>65</v>
      </c>
      <c r="M36" s="20"/>
      <c r="N36" s="20"/>
      <c r="O36" s="21"/>
      <c r="Q36" s="89"/>
      <c r="R36" s="89"/>
      <c r="S36" s="89"/>
      <c r="T36" s="89"/>
    </row>
    <row r="37" spans="2:20" ht="18" customHeight="1">
      <c r="B37" s="19" t="s">
        <v>66</v>
      </c>
      <c r="C37" s="22"/>
      <c r="D37" s="22"/>
      <c r="E37" s="23"/>
      <c r="G37" s="19" t="s">
        <v>67</v>
      </c>
      <c r="H37" s="22"/>
      <c r="I37" s="22"/>
      <c r="J37" s="23"/>
      <c r="L37" s="19"/>
      <c r="M37" s="22"/>
      <c r="N37" s="22"/>
      <c r="O37" s="23"/>
      <c r="Q37" s="90"/>
      <c r="R37" s="90"/>
      <c r="S37" s="90"/>
      <c r="T37" s="90"/>
    </row>
    <row r="38" spans="2:20" ht="18" customHeight="1">
      <c r="B38" s="19" t="s">
        <v>68</v>
      </c>
      <c r="C38" s="20"/>
      <c r="D38" s="20"/>
      <c r="E38" s="21"/>
      <c r="G38" s="24"/>
      <c r="H38" s="25"/>
      <c r="I38" s="25"/>
      <c r="J38" s="26"/>
      <c r="L38" s="24"/>
      <c r="M38" s="25"/>
      <c r="N38" s="25"/>
      <c r="O38" s="26"/>
      <c r="Q38" s="38"/>
      <c r="R38" s="38"/>
      <c r="S38" s="38"/>
      <c r="T38" s="38"/>
    </row>
    <row r="39" spans="2:20" ht="18" customHeight="1">
      <c r="B39" s="19" t="s">
        <v>69</v>
      </c>
      <c r="C39" s="20"/>
      <c r="D39" s="20"/>
      <c r="E39" s="21"/>
      <c r="G39" s="27"/>
      <c r="H39" s="28"/>
      <c r="I39" s="28"/>
      <c r="J39" s="29"/>
      <c r="L39" s="27"/>
      <c r="M39" s="28"/>
      <c r="N39" s="28"/>
      <c r="O39" s="29"/>
      <c r="Q39" s="90"/>
      <c r="R39" s="90"/>
      <c r="S39" s="90"/>
      <c r="T39" s="90"/>
    </row>
    <row r="40" spans="2:20">
      <c r="B40" s="24"/>
      <c r="C40" s="25"/>
      <c r="D40" s="25"/>
      <c r="E40" s="26"/>
      <c r="G40" s="24"/>
      <c r="H40" s="25"/>
      <c r="I40" s="25"/>
      <c r="J40" s="26"/>
      <c r="L40" s="24"/>
      <c r="M40" s="25"/>
      <c r="N40" s="25"/>
      <c r="O40" s="26"/>
    </row>
  </sheetData>
  <mergeCells count="19">
    <mergeCell ref="B2:E2"/>
    <mergeCell ref="G2:J2"/>
    <mergeCell ref="L2:O2"/>
    <mergeCell ref="Q2:T2"/>
    <mergeCell ref="B3:E3"/>
    <mergeCell ref="G3:J3"/>
    <mergeCell ref="L3:O3"/>
    <mergeCell ref="Q3:T3"/>
    <mergeCell ref="B4:E4"/>
    <mergeCell ref="G4:J4"/>
    <mergeCell ref="L4:O4"/>
    <mergeCell ref="Q4:T4"/>
    <mergeCell ref="Q37:T37"/>
    <mergeCell ref="Q39:T39"/>
    <mergeCell ref="B35:E35"/>
    <mergeCell ref="G35:J35"/>
    <mergeCell ref="L35:O35"/>
    <mergeCell ref="Q35:T35"/>
    <mergeCell ref="Q36:T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D877-A11C-4AF0-A414-7B6E4312A0D9}">
  <dimension ref="B1:T48"/>
  <sheetViews>
    <sheetView tabSelected="1" topLeftCell="A4" zoomScale="94" zoomScaleNormal="66" workbookViewId="0">
      <selection activeCell="F17" sqref="F17"/>
    </sheetView>
  </sheetViews>
  <sheetFormatPr defaultColWidth="8.5703125" defaultRowHeight="14.25"/>
  <cols>
    <col min="1" max="1" width="2" style="2" customWidth="1"/>
    <col min="2" max="2" width="23.7109375" style="2" bestFit="1" customWidth="1"/>
    <col min="3" max="3" width="10.5703125" style="2" customWidth="1"/>
    <col min="4" max="4" width="22.28515625" style="2" bestFit="1" customWidth="1"/>
    <col min="5" max="5" width="13.7109375" style="2" customWidth="1"/>
    <col min="6" max="6" width="9.140625" style="2"/>
    <col min="7" max="7" width="23.7109375" style="2" bestFit="1" customWidth="1"/>
    <col min="8" max="8" width="10.5703125" style="2" customWidth="1"/>
    <col min="9" max="9" width="22.28515625" style="2" bestFit="1" customWidth="1"/>
    <col min="10" max="10" width="15" style="2" customWidth="1"/>
    <col min="11" max="11" width="9.140625" style="2"/>
    <col min="12" max="12" width="23.7109375" style="2" bestFit="1" customWidth="1"/>
    <col min="13" max="13" width="10.5703125" style="2" customWidth="1"/>
    <col min="14" max="14" width="22.28515625" style="2" bestFit="1" customWidth="1"/>
    <col min="15" max="15" width="13.7109375" style="2" customWidth="1"/>
    <col min="16" max="16" width="9.140625" style="2"/>
    <col min="17" max="17" width="21" style="2" customWidth="1"/>
    <col min="18" max="18" width="10.5703125" style="2" customWidth="1"/>
    <col min="19" max="19" width="19.28515625" style="2" customWidth="1"/>
    <col min="20" max="20" width="13.7109375" style="2" customWidth="1"/>
    <col min="21" max="16384" width="8.5703125" style="2"/>
  </cols>
  <sheetData>
    <row r="1" spans="2:20" ht="18" customHeight="1"/>
    <row r="2" spans="2:20" ht="18" customHeight="1">
      <c r="B2" s="94" t="s">
        <v>70</v>
      </c>
      <c r="C2" s="94"/>
      <c r="D2" s="94"/>
      <c r="E2" s="94"/>
      <c r="G2" s="94" t="s">
        <v>71</v>
      </c>
      <c r="H2" s="94"/>
      <c r="I2" s="94"/>
      <c r="J2" s="94"/>
      <c r="L2" s="94" t="s">
        <v>72</v>
      </c>
      <c r="M2" s="94"/>
      <c r="N2" s="94"/>
      <c r="O2" s="94"/>
      <c r="Q2" s="95"/>
      <c r="R2" s="95"/>
      <c r="S2" s="95"/>
      <c r="T2" s="95"/>
    </row>
    <row r="3" spans="2:20" ht="18" customHeight="1">
      <c r="B3" s="96"/>
      <c r="C3" s="96"/>
      <c r="D3" s="96"/>
      <c r="E3" s="96"/>
      <c r="G3" s="97"/>
      <c r="H3" s="97"/>
      <c r="I3" s="97"/>
      <c r="J3" s="97"/>
      <c r="L3" s="97"/>
      <c r="M3" s="97"/>
      <c r="N3" s="97"/>
      <c r="O3" s="97"/>
      <c r="Q3" s="93"/>
      <c r="R3" s="93"/>
      <c r="S3" s="93"/>
      <c r="T3" s="93"/>
    </row>
    <row r="4" spans="2:20" ht="18" customHeight="1">
      <c r="B4" s="91"/>
      <c r="C4" s="91"/>
      <c r="D4" s="91"/>
      <c r="E4" s="91"/>
      <c r="G4" s="92"/>
      <c r="H4" s="92"/>
      <c r="I4" s="92"/>
      <c r="J4" s="92"/>
      <c r="L4" s="92"/>
      <c r="M4" s="92"/>
      <c r="N4" s="92"/>
      <c r="O4" s="92"/>
      <c r="Q4" s="93"/>
      <c r="R4" s="93"/>
      <c r="S4" s="93"/>
      <c r="T4" s="93"/>
    </row>
    <row r="5" spans="2:20" ht="18" customHeight="1"/>
    <row r="6" spans="2:20" ht="18" customHeight="1">
      <c r="B6" s="3" t="s">
        <v>5</v>
      </c>
      <c r="C6" s="3" t="s">
        <v>6</v>
      </c>
      <c r="D6" s="3" t="s">
        <v>7</v>
      </c>
      <c r="E6" s="3"/>
      <c r="G6" s="3" t="s">
        <v>5</v>
      </c>
      <c r="H6" s="3" t="s">
        <v>6</v>
      </c>
      <c r="I6" s="3" t="s">
        <v>7</v>
      </c>
      <c r="J6" s="3"/>
      <c r="L6" s="3" t="s">
        <v>5</v>
      </c>
      <c r="M6" s="3" t="s">
        <v>6</v>
      </c>
      <c r="N6" s="3" t="s">
        <v>7</v>
      </c>
      <c r="O6" s="3"/>
      <c r="Q6" s="30"/>
      <c r="R6" s="30"/>
      <c r="S6" s="30"/>
      <c r="T6" s="30"/>
    </row>
    <row r="7" spans="2:20" ht="18" customHeight="1">
      <c r="B7" s="4" t="s">
        <v>8</v>
      </c>
      <c r="C7" s="5">
        <v>29.6</v>
      </c>
      <c r="D7" s="4" t="s">
        <v>9</v>
      </c>
      <c r="E7" s="6" t="s">
        <v>10</v>
      </c>
      <c r="G7" s="4" t="s">
        <v>8</v>
      </c>
      <c r="H7" s="5">
        <v>27.2</v>
      </c>
      <c r="I7" s="4" t="s">
        <v>9</v>
      </c>
      <c r="J7" s="6" t="s">
        <v>10</v>
      </c>
      <c r="L7" s="4" t="s">
        <v>8</v>
      </c>
      <c r="M7" s="5">
        <v>22.8</v>
      </c>
      <c r="N7" s="4" t="s">
        <v>9</v>
      </c>
      <c r="O7" s="6" t="s">
        <v>10</v>
      </c>
      <c r="Q7" s="31"/>
      <c r="R7" s="32"/>
      <c r="S7" s="31"/>
      <c r="T7" s="33"/>
    </row>
    <row r="8" spans="2:20" ht="18" customHeight="1">
      <c r="B8" s="4" t="s">
        <v>11</v>
      </c>
      <c r="C8" s="5">
        <v>0</v>
      </c>
      <c r="D8" s="4" t="s">
        <v>12</v>
      </c>
      <c r="E8" s="6" t="s">
        <v>13</v>
      </c>
      <c r="G8" s="4" t="s">
        <v>11</v>
      </c>
      <c r="H8" s="5">
        <v>0</v>
      </c>
      <c r="I8" s="4" t="s">
        <v>12</v>
      </c>
      <c r="J8" s="6" t="s">
        <v>13</v>
      </c>
      <c r="L8" s="4" t="s">
        <v>11</v>
      </c>
      <c r="M8" s="5">
        <v>0</v>
      </c>
      <c r="N8" s="4" t="s">
        <v>12</v>
      </c>
      <c r="O8" s="6" t="s">
        <v>13</v>
      </c>
      <c r="Q8" s="31"/>
      <c r="R8" s="32"/>
      <c r="S8" s="31"/>
      <c r="T8" s="33"/>
    </row>
    <row r="9" spans="2:20" ht="18" customHeight="1">
      <c r="B9" s="4" t="s">
        <v>14</v>
      </c>
      <c r="C9" s="5">
        <v>0</v>
      </c>
      <c r="D9" s="4" t="s">
        <v>39</v>
      </c>
      <c r="E9" s="6" t="s">
        <v>51</v>
      </c>
      <c r="G9" s="4" t="s">
        <v>14</v>
      </c>
      <c r="H9" s="5">
        <v>0</v>
      </c>
      <c r="I9" s="4" t="s">
        <v>39</v>
      </c>
      <c r="J9" s="6" t="s">
        <v>52</v>
      </c>
      <c r="L9" s="4" t="s">
        <v>14</v>
      </c>
      <c r="M9" s="5">
        <v>0</v>
      </c>
      <c r="N9" s="4" t="s">
        <v>39</v>
      </c>
      <c r="O9" s="6" t="s">
        <v>53</v>
      </c>
      <c r="Q9" s="31"/>
      <c r="R9" s="32"/>
      <c r="S9" s="31"/>
      <c r="T9" s="33"/>
    </row>
    <row r="10" spans="2:20" ht="18" customHeight="1">
      <c r="B10" s="4" t="s">
        <v>15</v>
      </c>
      <c r="C10" s="5">
        <f>C7-C9+C8</f>
        <v>29.6</v>
      </c>
      <c r="D10" s="4" t="s">
        <v>54</v>
      </c>
      <c r="E10" s="6">
        <v>986</v>
      </c>
      <c r="G10" s="4" t="s">
        <v>15</v>
      </c>
      <c r="H10" s="5">
        <f>H7-H9+H8</f>
        <v>27.2</v>
      </c>
      <c r="I10" s="4" t="s">
        <v>54</v>
      </c>
      <c r="J10" s="6">
        <v>963</v>
      </c>
      <c r="L10" s="4" t="s">
        <v>15</v>
      </c>
      <c r="M10" s="5">
        <f>M7-M9+M8</f>
        <v>22.8</v>
      </c>
      <c r="N10" s="4" t="s">
        <v>54</v>
      </c>
      <c r="O10" s="6">
        <v>923</v>
      </c>
      <c r="Q10" s="31"/>
      <c r="R10" s="32"/>
      <c r="S10" s="31"/>
      <c r="T10" s="33"/>
    </row>
    <row r="11" spans="2:20" ht="18" customHeight="1"/>
    <row r="12" spans="2:20" ht="18" customHeight="1">
      <c r="B12" s="7" t="s">
        <v>15</v>
      </c>
      <c r="C12" s="7" t="s">
        <v>16</v>
      </c>
      <c r="D12" s="8" t="s">
        <v>17</v>
      </c>
      <c r="E12" s="7"/>
      <c r="G12" s="7" t="s">
        <v>15</v>
      </c>
      <c r="H12" s="7" t="s">
        <v>16</v>
      </c>
      <c r="I12" s="8" t="s">
        <v>17</v>
      </c>
      <c r="J12" s="7"/>
      <c r="L12" s="7" t="s">
        <v>15</v>
      </c>
      <c r="M12" s="7" t="s">
        <v>16</v>
      </c>
      <c r="N12" s="8" t="s">
        <v>17</v>
      </c>
      <c r="O12" s="7"/>
      <c r="Q12" s="34"/>
      <c r="R12" s="34"/>
      <c r="S12" s="35"/>
      <c r="T12" s="34"/>
    </row>
    <row r="13" spans="2:20" ht="18" customHeight="1">
      <c r="B13" s="4" t="s">
        <v>18</v>
      </c>
      <c r="C13" s="5">
        <v>141.47</v>
      </c>
      <c r="D13" s="9">
        <f>C13/C16</f>
        <v>0.88602156463880233</v>
      </c>
      <c r="E13" s="4"/>
      <c r="G13" s="4" t="s">
        <v>18</v>
      </c>
      <c r="H13" s="5">
        <v>97.176299999999998</v>
      </c>
      <c r="I13" s="9">
        <f>H13/H16</f>
        <v>0.76316186275757103</v>
      </c>
      <c r="J13" s="4"/>
      <c r="L13" s="4" t="s">
        <v>18</v>
      </c>
      <c r="M13" s="5">
        <v>98.338800000000006</v>
      </c>
      <c r="N13" s="9">
        <f>M13/M16</f>
        <v>0.75809445691590405</v>
      </c>
      <c r="O13" s="4"/>
      <c r="Q13" s="31"/>
      <c r="R13" s="32"/>
      <c r="S13" s="36"/>
      <c r="T13" s="31"/>
    </row>
    <row r="14" spans="2:20" ht="18" customHeight="1">
      <c r="B14" s="4" t="s">
        <v>19</v>
      </c>
      <c r="C14" s="5">
        <v>18.198799999999999</v>
      </c>
      <c r="D14" s="9">
        <f>C14/C16</f>
        <v>0.11397843536119767</v>
      </c>
      <c r="E14" s="4"/>
      <c r="G14" s="4" t="s">
        <v>19</v>
      </c>
      <c r="H14" s="5">
        <v>30.157499999999999</v>
      </c>
      <c r="I14" s="9">
        <f>H14/H16</f>
        <v>0.23683813724242894</v>
      </c>
      <c r="J14" s="4"/>
      <c r="L14" s="4" t="s">
        <v>19</v>
      </c>
      <c r="M14" s="5">
        <v>31.3796</v>
      </c>
      <c r="N14" s="9">
        <f>M14/M16</f>
        <v>0.24190554308409601</v>
      </c>
      <c r="O14" s="4"/>
      <c r="Q14" s="31"/>
      <c r="R14" s="32"/>
      <c r="S14" s="36"/>
      <c r="T14" s="31"/>
    </row>
    <row r="15" spans="2:20" ht="18" customHeight="1">
      <c r="B15" s="4" t="s">
        <v>20</v>
      </c>
      <c r="C15" s="5">
        <v>0</v>
      </c>
      <c r="D15" s="9">
        <f>C15/C16</f>
        <v>0</v>
      </c>
      <c r="E15" s="4"/>
      <c r="G15" s="4" t="s">
        <v>20</v>
      </c>
      <c r="H15" s="5">
        <v>0</v>
      </c>
      <c r="I15" s="9">
        <f>H15/H16</f>
        <v>0</v>
      </c>
      <c r="J15" s="4"/>
      <c r="L15" s="4" t="s">
        <v>20</v>
      </c>
      <c r="M15" s="5">
        <v>0</v>
      </c>
      <c r="N15" s="9">
        <f>M15/M16</f>
        <v>0</v>
      </c>
      <c r="O15" s="4"/>
      <c r="Q15" s="31"/>
      <c r="R15" s="32"/>
      <c r="S15" s="36"/>
      <c r="T15" s="31"/>
    </row>
    <row r="16" spans="2:20" ht="18" customHeight="1">
      <c r="B16" s="10" t="s">
        <v>21</v>
      </c>
      <c r="C16" s="11">
        <f>SUM(C13:C15)</f>
        <v>159.6688</v>
      </c>
      <c r="D16" s="12"/>
      <c r="E16" s="10"/>
      <c r="G16" s="10" t="s">
        <v>21</v>
      </c>
      <c r="H16" s="11">
        <f>SUM(H13:H15)</f>
        <v>127.3338</v>
      </c>
      <c r="I16" s="12"/>
      <c r="J16" s="10"/>
      <c r="L16" s="10" t="s">
        <v>21</v>
      </c>
      <c r="M16" s="11">
        <f>SUM(M13:M15)</f>
        <v>129.7184</v>
      </c>
      <c r="N16" s="12"/>
      <c r="O16" s="10"/>
      <c r="Q16" s="31"/>
      <c r="R16" s="32"/>
      <c r="S16" s="37"/>
      <c r="T16" s="31"/>
    </row>
    <row r="17" spans="2:20" ht="18" customHeight="1">
      <c r="C17" s="83"/>
      <c r="D17" s="13"/>
      <c r="E17" s="83"/>
      <c r="I17" s="13"/>
      <c r="N17" s="13"/>
    </row>
    <row r="18" spans="2:20" ht="18" customHeight="1">
      <c r="B18" s="7" t="s">
        <v>14</v>
      </c>
      <c r="C18" s="7" t="s">
        <v>16</v>
      </c>
      <c r="D18" s="14" t="s">
        <v>22</v>
      </c>
      <c r="E18" s="7"/>
      <c r="G18" s="7" t="s">
        <v>14</v>
      </c>
      <c r="H18" s="7" t="s">
        <v>16</v>
      </c>
      <c r="I18" s="14" t="s">
        <v>22</v>
      </c>
      <c r="J18" s="7"/>
      <c r="L18" s="7" t="s">
        <v>14</v>
      </c>
      <c r="M18" s="7" t="s">
        <v>16</v>
      </c>
      <c r="N18" s="14" t="s">
        <v>22</v>
      </c>
      <c r="O18" s="7"/>
      <c r="Q18" s="34"/>
      <c r="R18" s="34"/>
      <c r="S18" s="35"/>
      <c r="T18" s="34"/>
    </row>
    <row r="19" spans="2:20" ht="18" customHeight="1">
      <c r="B19" s="4" t="s">
        <v>23</v>
      </c>
      <c r="C19" s="5">
        <v>81.392399999999995</v>
      </c>
      <c r="D19" s="9">
        <f>C19/C22</f>
        <v>0.99657777032247319</v>
      </c>
      <c r="E19" s="4"/>
      <c r="G19" s="4" t="s">
        <v>23</v>
      </c>
      <c r="H19" s="5">
        <v>67.706000000000003</v>
      </c>
      <c r="I19" s="9">
        <f>H19/H22</f>
        <v>0.98693771765004268</v>
      </c>
      <c r="J19" s="4"/>
      <c r="L19" s="4" t="s">
        <v>23</v>
      </c>
      <c r="M19" s="5">
        <v>68.182100000000005</v>
      </c>
      <c r="N19" s="9">
        <f>M19/M22</f>
        <v>0.98245100864553314</v>
      </c>
      <c r="O19" s="4"/>
      <c r="Q19" s="31"/>
      <c r="R19" s="32"/>
      <c r="S19" s="36"/>
      <c r="T19" s="31"/>
    </row>
    <row r="20" spans="2:20" ht="18" customHeight="1">
      <c r="B20" s="4" t="s">
        <v>24</v>
      </c>
      <c r="C20" s="5">
        <v>0.27950000000000003</v>
      </c>
      <c r="D20" s="9">
        <f>C20/C22</f>
        <v>3.4222296775267874E-3</v>
      </c>
      <c r="E20" s="4"/>
      <c r="G20" s="4" t="s">
        <v>24</v>
      </c>
      <c r="H20" s="5">
        <v>0.89610000000000001</v>
      </c>
      <c r="I20" s="9">
        <f>H20/H22</f>
        <v>1.3062282349957216E-2</v>
      </c>
      <c r="J20" s="4"/>
      <c r="L20" s="4" t="s">
        <v>24</v>
      </c>
      <c r="M20" s="5">
        <v>1.2179</v>
      </c>
      <c r="N20" s="9">
        <f>M20/M22</f>
        <v>1.7548991354466859E-2</v>
      </c>
      <c r="O20" s="4"/>
      <c r="Q20" s="31"/>
      <c r="R20" s="32"/>
      <c r="S20" s="36"/>
      <c r="T20" s="31"/>
    </row>
    <row r="21" spans="2:20" ht="18" customHeight="1">
      <c r="B21" s="4" t="s">
        <v>25</v>
      </c>
      <c r="C21" s="5">
        <v>0</v>
      </c>
      <c r="D21" s="9">
        <f>C21/C22</f>
        <v>0</v>
      </c>
      <c r="E21" s="4"/>
      <c r="G21" s="4" t="s">
        <v>25</v>
      </c>
      <c r="H21" s="5">
        <v>0</v>
      </c>
      <c r="I21" s="9">
        <f>H21/H22</f>
        <v>0</v>
      </c>
      <c r="J21" s="4"/>
      <c r="L21" s="4" t="s">
        <v>25</v>
      </c>
      <c r="M21" s="5">
        <v>0</v>
      </c>
      <c r="N21" s="9">
        <f>M21/M22</f>
        <v>0</v>
      </c>
      <c r="O21" s="4"/>
      <c r="Q21" s="31"/>
      <c r="R21" s="32"/>
      <c r="S21" s="36"/>
      <c r="T21" s="31"/>
    </row>
    <row r="22" spans="2:20" ht="18" customHeight="1">
      <c r="B22" s="10" t="s">
        <v>26</v>
      </c>
      <c r="C22" s="11">
        <f>SUM(C19:C21)</f>
        <v>81.671899999999994</v>
      </c>
      <c r="D22" s="12"/>
      <c r="E22" s="10"/>
      <c r="G22" s="10" t="s">
        <v>26</v>
      </c>
      <c r="H22" s="11">
        <f>SUM(H19:H21)</f>
        <v>68.602100000000007</v>
      </c>
      <c r="I22" s="12"/>
      <c r="J22" s="10"/>
      <c r="L22" s="10" t="s">
        <v>26</v>
      </c>
      <c r="M22" s="11">
        <f>SUM(M19:M21)</f>
        <v>69.400000000000006</v>
      </c>
      <c r="N22" s="12"/>
      <c r="O22" s="10"/>
      <c r="Q22" s="31"/>
      <c r="R22" s="32"/>
      <c r="S22" s="37"/>
      <c r="T22" s="31"/>
    </row>
    <row r="23" spans="2:20" ht="18" customHeight="1">
      <c r="D23" s="13"/>
      <c r="I23" s="13"/>
      <c r="N23" s="13"/>
    </row>
    <row r="24" spans="2:20" ht="18" customHeight="1">
      <c r="B24" s="7" t="s">
        <v>42</v>
      </c>
      <c r="C24" s="7" t="s">
        <v>16</v>
      </c>
      <c r="D24" s="14" t="s">
        <v>28</v>
      </c>
      <c r="E24" s="7"/>
      <c r="G24" s="7" t="s">
        <v>42</v>
      </c>
      <c r="H24" s="7" t="s">
        <v>16</v>
      </c>
      <c r="I24" s="14" t="s">
        <v>28</v>
      </c>
      <c r="J24" s="7"/>
      <c r="L24" s="7" t="s">
        <v>42</v>
      </c>
      <c r="M24" s="7" t="s">
        <v>16</v>
      </c>
      <c r="N24" s="14" t="s">
        <v>28</v>
      </c>
      <c r="O24" s="7"/>
      <c r="Q24" s="34"/>
      <c r="R24" s="34"/>
      <c r="S24" s="35"/>
      <c r="T24" s="34"/>
    </row>
    <row r="25" spans="2:20" ht="18" customHeight="1">
      <c r="B25" s="4" t="s">
        <v>43</v>
      </c>
      <c r="C25" s="5">
        <v>0</v>
      </c>
      <c r="D25" s="9" t="e">
        <f>C25/C28</f>
        <v>#DIV/0!</v>
      </c>
      <c r="E25" s="4"/>
      <c r="G25" s="4" t="s">
        <v>43</v>
      </c>
      <c r="H25" s="5">
        <v>0.1951</v>
      </c>
      <c r="I25" s="9">
        <v>0</v>
      </c>
      <c r="J25" s="4"/>
      <c r="L25" s="4" t="s">
        <v>43</v>
      </c>
      <c r="M25" s="5">
        <v>0.49790000000000001</v>
      </c>
      <c r="N25" s="9">
        <f>M25/M28</f>
        <v>0.51972860125260967</v>
      </c>
      <c r="O25" s="4"/>
      <c r="Q25" s="31"/>
      <c r="R25" s="32"/>
      <c r="S25" s="36"/>
      <c r="T25" s="31"/>
    </row>
    <row r="26" spans="2:20" ht="18" customHeight="1">
      <c r="B26" s="4" t="s">
        <v>44</v>
      </c>
      <c r="C26" s="5">
        <v>0</v>
      </c>
      <c r="D26" s="9" t="e">
        <f>C26/C28</f>
        <v>#DIV/0!</v>
      </c>
      <c r="E26" s="4"/>
      <c r="G26" s="4" t="s">
        <v>44</v>
      </c>
      <c r="H26" s="5">
        <v>0.36159999999999998</v>
      </c>
      <c r="I26" s="9">
        <f>H26/H28</f>
        <v>0.64954194359619188</v>
      </c>
      <c r="J26" s="4"/>
      <c r="L26" s="4" t="s">
        <v>44</v>
      </c>
      <c r="M26" s="5">
        <v>0.46010000000000001</v>
      </c>
      <c r="N26" s="9">
        <f>M26/M28</f>
        <v>0.48027139874739044</v>
      </c>
      <c r="O26" s="4"/>
      <c r="Q26" s="31"/>
      <c r="R26" s="32"/>
      <c r="S26" s="36"/>
      <c r="T26" s="31"/>
    </row>
    <row r="27" spans="2:20" ht="18" customHeight="1">
      <c r="B27" s="4" t="s">
        <v>45</v>
      </c>
      <c r="C27" s="5">
        <v>0</v>
      </c>
      <c r="D27" s="9" t="e">
        <f>C27/C28</f>
        <v>#DIV/0!</v>
      </c>
      <c r="E27" s="4"/>
      <c r="G27" s="4" t="s">
        <v>45</v>
      </c>
      <c r="H27" s="5">
        <v>0</v>
      </c>
      <c r="I27" s="9">
        <f>H27/H28</f>
        <v>0</v>
      </c>
      <c r="J27" s="4"/>
      <c r="L27" s="4" t="s">
        <v>45</v>
      </c>
      <c r="M27" s="5">
        <v>0</v>
      </c>
      <c r="N27" s="9">
        <f>M27/M28</f>
        <v>0</v>
      </c>
      <c r="O27" s="4"/>
      <c r="Q27" s="31"/>
      <c r="R27" s="32"/>
      <c r="S27" s="36"/>
      <c r="T27" s="31"/>
    </row>
    <row r="28" spans="2:20" ht="18" customHeight="1">
      <c r="B28" s="10" t="s">
        <v>31</v>
      </c>
      <c r="C28" s="11">
        <f>SUM(C25:C27)</f>
        <v>0</v>
      </c>
      <c r="D28" s="12"/>
      <c r="E28" s="10"/>
      <c r="G28" s="10" t="s">
        <v>31</v>
      </c>
      <c r="H28" s="11">
        <f>SUM(H25:H27)</f>
        <v>0.55669999999999997</v>
      </c>
      <c r="I28" s="12"/>
      <c r="J28" s="10"/>
      <c r="L28" s="10" t="s">
        <v>31</v>
      </c>
      <c r="M28" s="11">
        <f>SUM(M25:M27)</f>
        <v>0.95799999999999996</v>
      </c>
      <c r="N28" s="12"/>
      <c r="O28" s="10"/>
      <c r="Q28" s="31"/>
      <c r="R28" s="32"/>
      <c r="S28" s="37"/>
      <c r="T28" s="31"/>
    </row>
    <row r="29" spans="2:20" ht="18" customHeight="1">
      <c r="B29" s="15" t="s">
        <v>32</v>
      </c>
      <c r="C29" s="16">
        <f>C28+C22+C16</f>
        <v>241.3407</v>
      </c>
      <c r="D29" s="17"/>
      <c r="E29" s="18"/>
      <c r="F29" s="18"/>
      <c r="G29" s="15" t="s">
        <v>32</v>
      </c>
      <c r="H29" s="16">
        <f>H28+H22+H16</f>
        <v>196.49260000000001</v>
      </c>
      <c r="I29" s="17"/>
      <c r="J29" s="18"/>
      <c r="K29" s="18"/>
      <c r="L29" s="15" t="s">
        <v>32</v>
      </c>
      <c r="M29" s="16">
        <f>M28+M22+M16</f>
        <v>200.07640000000001</v>
      </c>
      <c r="N29" s="1"/>
      <c r="Q29" s="1"/>
      <c r="R29" s="1"/>
      <c r="S29" s="1"/>
    </row>
    <row r="30" spans="2:20" ht="18" customHeight="1">
      <c r="B30" s="17"/>
      <c r="C30" s="39"/>
      <c r="D30" s="17"/>
      <c r="E30" s="18"/>
      <c r="F30" s="18"/>
      <c r="G30" s="17"/>
      <c r="H30" s="39"/>
      <c r="I30" s="17"/>
      <c r="J30" s="18"/>
      <c r="K30" s="18"/>
      <c r="L30" s="17"/>
      <c r="M30" s="39"/>
      <c r="N30" s="1"/>
      <c r="Q30" s="1"/>
      <c r="R30" s="1"/>
      <c r="S30" s="1"/>
    </row>
    <row r="31" spans="2:20" ht="18" customHeight="1">
      <c r="B31" s="7"/>
      <c r="C31" s="7" t="s">
        <v>55</v>
      </c>
      <c r="D31" s="7"/>
      <c r="E31" s="7"/>
      <c r="F31" s="18"/>
      <c r="G31" s="7"/>
      <c r="H31" s="7" t="s">
        <v>61</v>
      </c>
      <c r="I31" s="7"/>
      <c r="J31" s="7"/>
      <c r="K31" s="18"/>
      <c r="L31" s="7"/>
      <c r="M31" s="7" t="s">
        <v>62</v>
      </c>
      <c r="N31" s="7"/>
      <c r="O31" s="7"/>
      <c r="Q31" s="1"/>
      <c r="R31" s="1"/>
      <c r="S31" s="1"/>
    </row>
    <row r="32" spans="2:20" ht="18" customHeight="1">
      <c r="B32" s="4" t="s">
        <v>58</v>
      </c>
      <c r="C32" s="40">
        <f>C13/(C13+C20+C25)</f>
        <v>0.99802821173972389</v>
      </c>
      <c r="D32" s="4"/>
      <c r="E32" s="4"/>
      <c r="F32" s="18"/>
      <c r="G32" s="4" t="s">
        <v>58</v>
      </c>
      <c r="H32" s="40">
        <f>H13/(H13+H20+H25)</f>
        <v>0.98889561655684732</v>
      </c>
      <c r="I32" s="4"/>
      <c r="J32" s="4"/>
      <c r="K32" s="18"/>
      <c r="L32" s="4" t="s">
        <v>58</v>
      </c>
      <c r="M32" s="40">
        <f>M13/(M13+M20+M25)</f>
        <v>0.98285136315571697</v>
      </c>
      <c r="N32" s="4"/>
      <c r="O32" s="4"/>
      <c r="Q32" s="1"/>
      <c r="R32" s="1"/>
      <c r="S32" s="1"/>
    </row>
    <row r="33" spans="2:20" ht="18" customHeight="1">
      <c r="B33" s="4" t="s">
        <v>59</v>
      </c>
      <c r="C33" s="40">
        <f>C19/(C19+C14+C25)</f>
        <v>0.81726497923511321</v>
      </c>
      <c r="D33" s="4"/>
      <c r="E33" s="4"/>
      <c r="F33" s="18"/>
      <c r="G33" s="4" t="s">
        <v>59</v>
      </c>
      <c r="H33" s="40">
        <f>H19/(H19+H14+H25)</f>
        <v>0.69046468132320882</v>
      </c>
      <c r="I33" s="4"/>
      <c r="J33" s="4"/>
      <c r="K33" s="18"/>
      <c r="L33" s="4" t="s">
        <v>59</v>
      </c>
      <c r="M33" s="40">
        <f>M19/(M19+M14+M25)</f>
        <v>0.6814148767334669</v>
      </c>
      <c r="N33" s="4"/>
      <c r="O33" s="4"/>
      <c r="Q33" s="1"/>
      <c r="R33" s="1"/>
      <c r="S33" s="1"/>
    </row>
    <row r="34" spans="2:20" ht="18" customHeight="1">
      <c r="B34" s="17"/>
      <c r="C34" s="39"/>
      <c r="D34" s="17"/>
      <c r="E34" s="18"/>
      <c r="F34" s="18"/>
      <c r="G34" s="17"/>
      <c r="H34" s="39"/>
      <c r="I34" s="17"/>
      <c r="J34" s="18"/>
      <c r="K34" s="18"/>
      <c r="L34" s="17"/>
      <c r="M34" s="39"/>
      <c r="N34" s="1"/>
      <c r="Q34" s="1"/>
      <c r="R34" s="1"/>
      <c r="S34" s="1"/>
    </row>
    <row r="35" spans="2:20" ht="18" customHeight="1">
      <c r="B35" s="88" t="s">
        <v>33</v>
      </c>
      <c r="C35" s="88"/>
      <c r="D35" s="88"/>
      <c r="E35" s="88"/>
      <c r="G35" s="88" t="s">
        <v>33</v>
      </c>
      <c r="H35" s="88"/>
      <c r="I35" s="88"/>
      <c r="J35" s="88"/>
      <c r="L35" s="88" t="s">
        <v>33</v>
      </c>
      <c r="M35" s="88"/>
      <c r="N35" s="88"/>
      <c r="O35" s="88"/>
      <c r="Q35" s="89"/>
      <c r="R35" s="89"/>
      <c r="S35" s="89"/>
      <c r="T35" s="89"/>
    </row>
    <row r="36" spans="2:20" ht="18" customHeight="1">
      <c r="B36" s="19"/>
      <c r="C36" s="20"/>
      <c r="D36" s="20"/>
      <c r="E36" s="21"/>
      <c r="G36" s="19"/>
      <c r="H36" s="20"/>
      <c r="I36" s="20"/>
      <c r="J36" s="21"/>
      <c r="L36" s="19" t="s">
        <v>73</v>
      </c>
      <c r="M36" s="20"/>
      <c r="N36" s="20"/>
      <c r="O36" s="21"/>
      <c r="Q36" s="89"/>
      <c r="R36" s="89"/>
      <c r="S36" s="89"/>
      <c r="T36" s="89"/>
    </row>
    <row r="37" spans="2:20" ht="18" customHeight="1">
      <c r="B37" s="19"/>
      <c r="C37" s="22"/>
      <c r="D37" s="22"/>
      <c r="E37" s="23"/>
      <c r="G37" s="19"/>
      <c r="H37" s="22"/>
      <c r="I37" s="22"/>
      <c r="J37" s="23"/>
      <c r="L37" s="19" t="s">
        <v>74</v>
      </c>
      <c r="M37" s="22"/>
      <c r="N37" s="22"/>
      <c r="O37" s="23"/>
      <c r="Q37" s="90"/>
      <c r="R37" s="90"/>
      <c r="S37" s="90"/>
      <c r="T37" s="90"/>
    </row>
    <row r="38" spans="2:20" ht="18" customHeight="1">
      <c r="B38" s="19"/>
      <c r="C38" s="20"/>
      <c r="D38" s="20"/>
      <c r="E38" s="21"/>
      <c r="G38" s="24"/>
      <c r="H38" s="25"/>
      <c r="I38" s="25"/>
      <c r="J38" s="26"/>
      <c r="L38" s="24"/>
      <c r="M38" s="25"/>
      <c r="N38" s="25"/>
      <c r="O38" s="26"/>
      <c r="Q38" s="38"/>
      <c r="R38" s="38"/>
      <c r="S38" s="38"/>
      <c r="T38" s="38"/>
    </row>
    <row r="39" spans="2:20" ht="18" customHeight="1">
      <c r="B39" s="19"/>
      <c r="C39" s="20"/>
      <c r="D39" s="20"/>
      <c r="E39" s="21"/>
      <c r="G39" s="27"/>
      <c r="H39" s="28"/>
      <c r="I39" s="28"/>
      <c r="J39" s="29"/>
      <c r="L39" s="27"/>
      <c r="M39" s="28"/>
      <c r="N39" s="28"/>
      <c r="O39" s="29"/>
      <c r="Q39" s="90"/>
      <c r="R39" s="90"/>
      <c r="S39" s="90"/>
      <c r="T39" s="90"/>
    </row>
    <row r="40" spans="2:20">
      <c r="B40" s="24"/>
      <c r="C40" s="25"/>
      <c r="D40" s="25"/>
      <c r="E40" s="26"/>
      <c r="G40" s="24"/>
      <c r="H40" s="25"/>
      <c r="I40" s="25"/>
      <c r="J40" s="26"/>
      <c r="L40" s="24"/>
      <c r="M40" s="25"/>
      <c r="N40" s="25"/>
      <c r="O40" s="26"/>
    </row>
    <row r="43" spans="2:20">
      <c r="B43" s="88" t="s">
        <v>75</v>
      </c>
      <c r="C43" s="88"/>
      <c r="D43" s="88"/>
      <c r="E43" s="88"/>
      <c r="G43" s="88" t="s">
        <v>75</v>
      </c>
      <c r="H43" s="88"/>
      <c r="I43" s="88"/>
      <c r="J43" s="88"/>
      <c r="L43" s="88" t="s">
        <v>75</v>
      </c>
      <c r="M43" s="88"/>
      <c r="N43" s="88"/>
      <c r="O43" s="88"/>
    </row>
    <row r="44" spans="2:20">
      <c r="B44" s="19" t="s">
        <v>76</v>
      </c>
      <c r="C44" s="84"/>
      <c r="D44" s="84"/>
      <c r="E44" s="85"/>
      <c r="G44" s="19"/>
      <c r="H44" s="84" t="s">
        <v>77</v>
      </c>
      <c r="I44" s="84"/>
      <c r="J44" s="85"/>
      <c r="L44" s="19" t="s">
        <v>73</v>
      </c>
      <c r="M44" s="20"/>
      <c r="N44" s="20"/>
      <c r="O44" s="21"/>
    </row>
    <row r="45" spans="2:20">
      <c r="B45" s="19"/>
      <c r="C45" s="86"/>
      <c r="D45" s="86"/>
      <c r="E45" s="87"/>
      <c r="G45" s="19"/>
      <c r="H45" s="86" t="s">
        <v>78</v>
      </c>
      <c r="I45" s="86"/>
      <c r="J45" s="87"/>
      <c r="L45" s="19" t="s">
        <v>74</v>
      </c>
      <c r="M45" s="22"/>
      <c r="N45" s="22"/>
      <c r="O45" s="23"/>
    </row>
    <row r="46" spans="2:20">
      <c r="B46" s="24"/>
      <c r="C46" s="25"/>
      <c r="D46" s="25"/>
      <c r="E46" s="26"/>
      <c r="G46" s="24"/>
      <c r="H46" s="25"/>
      <c r="I46" s="25"/>
      <c r="J46" s="26"/>
      <c r="L46" s="24"/>
      <c r="M46" s="25"/>
      <c r="N46" s="25"/>
      <c r="O46" s="26"/>
    </row>
    <row r="47" spans="2:20">
      <c r="B47" s="27"/>
      <c r="C47" s="28"/>
      <c r="D47" s="28"/>
      <c r="E47" s="29"/>
      <c r="G47" s="27"/>
      <c r="H47" s="28"/>
      <c r="I47" s="28"/>
      <c r="J47" s="29"/>
      <c r="L47" s="27"/>
      <c r="M47" s="28"/>
      <c r="N47" s="28"/>
      <c r="O47" s="29"/>
    </row>
    <row r="48" spans="2:20">
      <c r="B48" s="24"/>
      <c r="C48" s="25"/>
      <c r="D48" s="25"/>
      <c r="E48" s="26"/>
      <c r="G48" s="24"/>
      <c r="H48" s="25"/>
      <c r="I48" s="25"/>
      <c r="J48" s="26"/>
      <c r="L48" s="24"/>
      <c r="M48" s="25"/>
      <c r="N48" s="25"/>
      <c r="O48" s="26"/>
    </row>
  </sheetData>
  <mergeCells count="22">
    <mergeCell ref="B2:E2"/>
    <mergeCell ref="G2:J2"/>
    <mergeCell ref="L2:O2"/>
    <mergeCell ref="Q2:T2"/>
    <mergeCell ref="B3:E3"/>
    <mergeCell ref="G3:J3"/>
    <mergeCell ref="L3:O3"/>
    <mergeCell ref="Q3:T3"/>
    <mergeCell ref="B4:E4"/>
    <mergeCell ref="G4:J4"/>
    <mergeCell ref="L4:O4"/>
    <mergeCell ref="Q4:T4"/>
    <mergeCell ref="B35:E35"/>
    <mergeCell ref="G35:J35"/>
    <mergeCell ref="L35:O35"/>
    <mergeCell ref="Q35:T35"/>
    <mergeCell ref="L43:O43"/>
    <mergeCell ref="G43:J43"/>
    <mergeCell ref="B43:E43"/>
    <mergeCell ref="Q36:T36"/>
    <mergeCell ref="Q37:T37"/>
    <mergeCell ref="Q39:T3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101C-37B3-4844-8DFB-07BF7B23E592}">
  <dimension ref="A1:E38"/>
  <sheetViews>
    <sheetView workbookViewId="0">
      <selection activeCell="F10" sqref="F10"/>
    </sheetView>
  </sheetViews>
  <sheetFormatPr defaultRowHeight="14.25"/>
  <cols>
    <col min="1" max="1" width="4.28515625" customWidth="1"/>
    <col min="2" max="2" width="36.140625" bestFit="1" customWidth="1"/>
    <col min="3" max="3" width="11.85546875" bestFit="1" customWidth="1"/>
    <col min="4" max="4" width="22.28515625" bestFit="1" customWidth="1"/>
    <col min="5" max="5" width="15.28515625" bestFit="1" customWidth="1"/>
  </cols>
  <sheetData>
    <row r="1" spans="1:5">
      <c r="A1" s="41"/>
      <c r="B1" s="41"/>
      <c r="C1" s="41"/>
      <c r="D1" s="41"/>
      <c r="E1" s="41"/>
    </row>
    <row r="2" spans="1:5" ht="16.5" customHeight="1">
      <c r="A2" s="41"/>
      <c r="B2" s="101" t="s">
        <v>79</v>
      </c>
      <c r="C2" s="101"/>
      <c r="D2" s="101"/>
      <c r="E2" s="101"/>
    </row>
    <row r="3" spans="1:5">
      <c r="A3" s="41"/>
      <c r="B3" s="102" t="s">
        <v>80</v>
      </c>
      <c r="C3" s="102"/>
      <c r="D3" s="102"/>
      <c r="E3" s="102"/>
    </row>
    <row r="4" spans="1:5">
      <c r="A4" s="41"/>
      <c r="B4" s="103"/>
      <c r="C4" s="103"/>
      <c r="D4" s="103"/>
      <c r="E4" s="103"/>
    </row>
    <row r="5" spans="1:5">
      <c r="A5" s="41"/>
      <c r="B5" s="41"/>
      <c r="C5" s="41"/>
      <c r="D5" s="41"/>
      <c r="E5" s="41"/>
    </row>
    <row r="6" spans="1:5">
      <c r="A6" s="41"/>
      <c r="B6" s="42" t="s">
        <v>5</v>
      </c>
      <c r="C6" s="42" t="s">
        <v>6</v>
      </c>
      <c r="D6" s="42" t="s">
        <v>7</v>
      </c>
      <c r="E6" s="42"/>
    </row>
    <row r="7" spans="1:5">
      <c r="A7" s="41"/>
      <c r="B7" s="43" t="s">
        <v>8</v>
      </c>
      <c r="C7" s="44" t="s">
        <v>81</v>
      </c>
      <c r="D7" s="43" t="s">
        <v>9</v>
      </c>
      <c r="E7" s="45" t="s">
        <v>10</v>
      </c>
    </row>
    <row r="8" spans="1:5">
      <c r="A8" s="41"/>
      <c r="B8" s="43" t="s">
        <v>11</v>
      </c>
      <c r="C8" s="44">
        <v>0</v>
      </c>
      <c r="D8" s="43" t="s">
        <v>12</v>
      </c>
      <c r="E8" s="45" t="s">
        <v>13</v>
      </c>
    </row>
    <row r="9" spans="1:5">
      <c r="A9" s="41"/>
      <c r="B9" s="43" t="s">
        <v>14</v>
      </c>
      <c r="C9" s="44" t="s">
        <v>82</v>
      </c>
      <c r="D9" s="43"/>
      <c r="E9" s="45"/>
    </row>
    <row r="10" spans="1:5">
      <c r="A10" s="41"/>
      <c r="B10" s="43" t="s">
        <v>15</v>
      </c>
      <c r="C10" s="44" t="s">
        <v>83</v>
      </c>
      <c r="D10" s="45"/>
      <c r="E10" s="45"/>
    </row>
    <row r="11" spans="1:5">
      <c r="A11" s="41"/>
      <c r="B11" s="41"/>
      <c r="C11" s="41"/>
      <c r="D11" s="41"/>
      <c r="E11" s="41"/>
    </row>
    <row r="12" spans="1:5">
      <c r="A12" s="41"/>
      <c r="B12" s="46" t="s">
        <v>15</v>
      </c>
      <c r="C12" s="46" t="s">
        <v>16</v>
      </c>
      <c r="D12" s="47" t="s">
        <v>17</v>
      </c>
      <c r="E12" s="46"/>
    </row>
    <row r="13" spans="1:5">
      <c r="A13" s="41"/>
      <c r="B13" s="43" t="s">
        <v>18</v>
      </c>
      <c r="C13" s="44">
        <v>266.73</v>
      </c>
      <c r="D13" s="48">
        <f>C13/C16</f>
        <v>1</v>
      </c>
      <c r="E13" s="43"/>
    </row>
    <row r="14" spans="1:5">
      <c r="A14" s="41"/>
      <c r="B14" s="43" t="s">
        <v>19</v>
      </c>
      <c r="C14" s="44">
        <v>0</v>
      </c>
      <c r="D14" s="48">
        <f>C14/C16</f>
        <v>0</v>
      </c>
      <c r="E14" s="43"/>
    </row>
    <row r="15" spans="1:5">
      <c r="A15" s="41"/>
      <c r="B15" s="43" t="s">
        <v>20</v>
      </c>
      <c r="C15" s="44">
        <v>0</v>
      </c>
      <c r="D15" s="48">
        <f>C15/C16</f>
        <v>0</v>
      </c>
      <c r="E15" s="43"/>
    </row>
    <row r="16" spans="1:5">
      <c r="A16" s="41"/>
      <c r="B16" s="49" t="s">
        <v>21</v>
      </c>
      <c r="C16" s="50">
        <f>SUM(C13:C15)</f>
        <v>266.73</v>
      </c>
      <c r="D16" s="51"/>
      <c r="E16" s="49"/>
    </row>
    <row r="17" spans="1:5">
      <c r="A17" s="41"/>
      <c r="B17" s="41"/>
      <c r="C17" s="41"/>
      <c r="D17" s="52"/>
      <c r="E17" s="41"/>
    </row>
    <row r="18" spans="1:5">
      <c r="A18" s="41"/>
      <c r="B18" s="46" t="s">
        <v>14</v>
      </c>
      <c r="C18" s="46" t="s">
        <v>16</v>
      </c>
      <c r="D18" s="53" t="s">
        <v>22</v>
      </c>
      <c r="E18" s="46"/>
    </row>
    <row r="19" spans="1:5">
      <c r="A19" s="41"/>
      <c r="B19" s="43" t="s">
        <v>23</v>
      </c>
      <c r="C19" s="44">
        <v>182.29</v>
      </c>
      <c r="D19" s="48">
        <f>C19/C22</f>
        <v>1</v>
      </c>
      <c r="E19" s="43"/>
    </row>
    <row r="20" spans="1:5">
      <c r="A20" s="41"/>
      <c r="B20" s="43" t="s">
        <v>24</v>
      </c>
      <c r="C20" s="44">
        <v>0</v>
      </c>
      <c r="D20" s="48">
        <f>C20/C22</f>
        <v>0</v>
      </c>
      <c r="E20" s="43"/>
    </row>
    <row r="21" spans="1:5">
      <c r="A21" s="41"/>
      <c r="B21" s="43" t="s">
        <v>25</v>
      </c>
      <c r="C21" s="44">
        <v>0</v>
      </c>
      <c r="D21" s="48">
        <f>C21/C22</f>
        <v>0</v>
      </c>
      <c r="E21" s="43"/>
    </row>
    <row r="22" spans="1:5">
      <c r="A22" s="41"/>
      <c r="B22" s="49" t="s">
        <v>26</v>
      </c>
      <c r="C22" s="50">
        <f>SUM(C19:C21)</f>
        <v>182.29</v>
      </c>
      <c r="D22" s="51"/>
      <c r="E22" s="49"/>
    </row>
    <row r="23" spans="1:5">
      <c r="A23" s="41"/>
      <c r="B23" s="41"/>
      <c r="C23" s="41"/>
      <c r="D23" s="52"/>
      <c r="E23" s="41"/>
    </row>
    <row r="24" spans="1:5">
      <c r="A24" s="41"/>
      <c r="B24" s="46" t="s">
        <v>27</v>
      </c>
      <c r="C24" s="46" t="s">
        <v>16</v>
      </c>
      <c r="D24" s="53" t="s">
        <v>28</v>
      </c>
      <c r="E24" s="46"/>
    </row>
    <row r="25" spans="1:5">
      <c r="A25" s="41"/>
      <c r="B25" s="43" t="s">
        <v>29</v>
      </c>
      <c r="C25" s="44">
        <v>0</v>
      </c>
      <c r="D25" s="48"/>
      <c r="E25" s="43"/>
    </row>
    <row r="26" spans="1:5">
      <c r="A26" s="41"/>
      <c r="B26" s="49" t="s">
        <v>31</v>
      </c>
      <c r="C26" s="50">
        <v>0</v>
      </c>
      <c r="D26" s="51"/>
      <c r="E26" s="49"/>
    </row>
    <row r="27" spans="1:5">
      <c r="A27" s="41"/>
      <c r="B27" s="54" t="s">
        <v>32</v>
      </c>
      <c r="C27" s="55">
        <f>C26+C22+C16</f>
        <v>449.02</v>
      </c>
      <c r="D27" s="56"/>
      <c r="E27" s="57"/>
    </row>
    <row r="28" spans="1:5">
      <c r="A28" s="41"/>
      <c r="B28" s="56"/>
      <c r="C28" s="77"/>
      <c r="D28" s="56"/>
      <c r="E28" s="57"/>
    </row>
    <row r="29" spans="1:5">
      <c r="A29" s="41"/>
      <c r="B29" s="46"/>
      <c r="C29" s="46" t="s">
        <v>84</v>
      </c>
      <c r="D29" s="46"/>
      <c r="E29" s="46"/>
    </row>
    <row r="30" spans="1:5">
      <c r="A30" s="41"/>
      <c r="B30" s="43" t="s">
        <v>85</v>
      </c>
      <c r="C30" s="78">
        <v>1</v>
      </c>
      <c r="D30" s="43"/>
      <c r="E30" s="43"/>
    </row>
    <row r="31" spans="1:5">
      <c r="A31" s="41"/>
      <c r="B31" s="43" t="s">
        <v>86</v>
      </c>
      <c r="C31" s="78">
        <v>1</v>
      </c>
      <c r="D31" s="43"/>
      <c r="E31" s="43"/>
    </row>
    <row r="32" spans="1:5">
      <c r="A32" s="41"/>
      <c r="B32" s="41"/>
      <c r="C32" s="41"/>
      <c r="D32" s="41"/>
      <c r="E32" s="41"/>
    </row>
    <row r="33" spans="1:5">
      <c r="A33" s="41"/>
      <c r="B33" s="104" t="s">
        <v>33</v>
      </c>
      <c r="C33" s="104"/>
      <c r="D33" s="104"/>
      <c r="E33" s="104"/>
    </row>
    <row r="34" spans="1:5">
      <c r="A34" s="41"/>
      <c r="B34" s="58" t="s">
        <v>34</v>
      </c>
      <c r="C34" s="59"/>
      <c r="D34" s="59"/>
      <c r="E34" s="60"/>
    </row>
    <row r="35" spans="1:5">
      <c r="A35" s="41"/>
      <c r="B35" s="58"/>
      <c r="C35" s="61"/>
      <c r="D35" s="61"/>
      <c r="E35" s="62"/>
    </row>
    <row r="36" spans="1:5">
      <c r="A36" s="41"/>
      <c r="B36" s="63"/>
      <c r="C36" s="64"/>
      <c r="D36" s="64"/>
      <c r="E36" s="65"/>
    </row>
    <row r="37" spans="1:5">
      <c r="A37" s="41"/>
      <c r="B37" s="66"/>
      <c r="C37" s="67"/>
      <c r="D37" s="67"/>
      <c r="E37" s="68"/>
    </row>
    <row r="38" spans="1:5">
      <c r="A38" s="41"/>
      <c r="B38" s="63"/>
      <c r="C38" s="64"/>
      <c r="D38" s="64"/>
      <c r="E38" s="65"/>
    </row>
  </sheetData>
  <mergeCells count="4">
    <mergeCell ref="B2:E2"/>
    <mergeCell ref="B3:E3"/>
    <mergeCell ref="B4:E4"/>
    <mergeCell ref="B33:E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C915-B828-4FEB-A5AD-63F0B598C9E2}">
  <dimension ref="A1:P40"/>
  <sheetViews>
    <sheetView workbookViewId="0">
      <selection activeCell="F14" sqref="F14"/>
    </sheetView>
  </sheetViews>
  <sheetFormatPr defaultRowHeight="14.25"/>
  <cols>
    <col min="2" max="2" width="36.140625" bestFit="1" customWidth="1"/>
    <col min="3" max="3" width="11.85546875" bestFit="1" customWidth="1"/>
    <col min="4" max="4" width="22.28515625" bestFit="1" customWidth="1"/>
    <col min="5" max="5" width="15.28515625" bestFit="1" customWidth="1"/>
  </cols>
  <sheetData>
    <row r="1" spans="1:16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5" customHeight="1">
      <c r="A2" s="69"/>
      <c r="B2" s="94" t="s">
        <v>87</v>
      </c>
      <c r="C2" s="94"/>
      <c r="D2" s="94"/>
      <c r="E2" s="94"/>
      <c r="F2" s="69"/>
      <c r="G2" s="76"/>
      <c r="H2" s="76"/>
      <c r="I2" s="76"/>
      <c r="J2" s="76"/>
      <c r="K2" s="69"/>
      <c r="L2" s="69"/>
      <c r="M2" s="69"/>
      <c r="N2" s="69"/>
      <c r="O2" s="69"/>
      <c r="P2" s="69"/>
    </row>
    <row r="3" spans="1:16">
      <c r="A3" s="69"/>
      <c r="B3" s="105" t="s">
        <v>88</v>
      </c>
      <c r="C3" s="105"/>
      <c r="D3" s="105"/>
      <c r="E3" s="105"/>
      <c r="F3" s="69"/>
      <c r="G3" s="69"/>
      <c r="H3" s="69"/>
      <c r="I3" s="69"/>
      <c r="J3" s="69"/>
      <c r="K3" s="69"/>
      <c r="L3" s="69"/>
    </row>
    <row r="4" spans="1:16">
      <c r="A4" s="69"/>
      <c r="B4" s="92"/>
      <c r="C4" s="92"/>
      <c r="D4" s="92"/>
      <c r="E4" s="92"/>
      <c r="F4" s="69"/>
      <c r="G4" s="69"/>
      <c r="H4" s="69"/>
      <c r="I4" s="69"/>
      <c r="J4" s="69"/>
      <c r="K4" s="69"/>
      <c r="L4" s="69"/>
    </row>
    <row r="5" spans="1:16">
      <c r="A5" s="69"/>
      <c r="B5" s="2"/>
      <c r="C5" s="2"/>
      <c r="D5" s="2"/>
      <c r="E5" s="2"/>
      <c r="F5" s="69"/>
      <c r="K5" s="69"/>
      <c r="L5" s="69"/>
    </row>
    <row r="6" spans="1:16">
      <c r="A6" s="69"/>
      <c r="B6" s="79" t="s">
        <v>5</v>
      </c>
      <c r="C6" s="3" t="s">
        <v>6</v>
      </c>
      <c r="D6" s="3" t="s">
        <v>7</v>
      </c>
      <c r="E6" s="3"/>
      <c r="F6" s="69"/>
      <c r="G6" s="106" t="s">
        <v>89</v>
      </c>
      <c r="H6" s="106"/>
      <c r="I6" s="106"/>
      <c r="J6" s="106"/>
      <c r="K6" s="69"/>
      <c r="L6" s="69"/>
    </row>
    <row r="7" spans="1:16">
      <c r="A7" s="69"/>
      <c r="B7" s="4" t="s">
        <v>8</v>
      </c>
      <c r="C7" s="5">
        <v>45</v>
      </c>
      <c r="D7" s="4" t="s">
        <v>9</v>
      </c>
      <c r="E7" s="6" t="s">
        <v>10</v>
      </c>
      <c r="F7" s="69"/>
      <c r="G7" s="81" t="s">
        <v>90</v>
      </c>
      <c r="H7" s="81">
        <v>8.31</v>
      </c>
      <c r="I7" s="81">
        <v>8.4499999999999993</v>
      </c>
      <c r="J7" s="81">
        <v>8.4220000000000006</v>
      </c>
      <c r="K7" s="69"/>
      <c r="L7" s="69"/>
    </row>
    <row r="8" spans="1:16">
      <c r="A8" s="69"/>
      <c r="B8" s="4" t="s">
        <v>11</v>
      </c>
      <c r="C8" s="5">
        <v>0</v>
      </c>
      <c r="D8" s="4" t="s">
        <v>12</v>
      </c>
      <c r="E8" s="6" t="s">
        <v>13</v>
      </c>
      <c r="F8" s="69"/>
      <c r="G8" s="81" t="s">
        <v>91</v>
      </c>
      <c r="H8" s="81">
        <v>30.75</v>
      </c>
      <c r="I8" s="81">
        <v>30.45</v>
      </c>
      <c r="J8" s="81">
        <v>30.44</v>
      </c>
      <c r="K8" s="69"/>
      <c r="L8" s="69"/>
      <c r="M8" s="69"/>
      <c r="N8" s="69"/>
      <c r="O8" s="69"/>
      <c r="P8" s="69"/>
    </row>
    <row r="9" spans="1:16">
      <c r="A9" s="69"/>
      <c r="B9" s="4" t="s">
        <v>14</v>
      </c>
      <c r="C9" s="5">
        <f>45-C10</f>
        <v>28.4</v>
      </c>
      <c r="D9" s="4" t="s">
        <v>39</v>
      </c>
      <c r="E9" s="80"/>
      <c r="F9" s="69"/>
      <c r="G9" s="81"/>
      <c r="H9" s="81"/>
      <c r="I9" s="81"/>
      <c r="J9" s="81"/>
      <c r="K9" s="69"/>
      <c r="L9" s="69"/>
      <c r="M9" s="69"/>
      <c r="N9" s="69"/>
      <c r="O9" s="69"/>
      <c r="P9" s="69"/>
    </row>
    <row r="10" spans="1:16">
      <c r="A10" s="69"/>
      <c r="B10" s="4" t="s">
        <v>15</v>
      </c>
      <c r="C10" s="5">
        <f>16.6</f>
        <v>16.600000000000001</v>
      </c>
      <c r="D10" s="4"/>
      <c r="E10" s="6"/>
      <c r="F10" s="69"/>
      <c r="G10" s="82" t="s">
        <v>92</v>
      </c>
      <c r="H10" s="82">
        <v>16.214600000000001</v>
      </c>
      <c r="I10" s="82">
        <v>16.650200000000002</v>
      </c>
      <c r="J10" s="82">
        <v>16.6005</v>
      </c>
      <c r="K10" s="69"/>
      <c r="L10" s="69"/>
      <c r="M10" s="69"/>
      <c r="N10" s="69"/>
      <c r="O10" s="69"/>
      <c r="P10" s="69"/>
    </row>
    <row r="11" spans="1:16">
      <c r="A11" s="69"/>
      <c r="B11" s="2"/>
      <c r="C11" s="2"/>
      <c r="D11" s="2"/>
      <c r="E11" s="2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</row>
    <row r="12" spans="1:16">
      <c r="A12" s="69"/>
      <c r="B12" s="7" t="s">
        <v>15</v>
      </c>
      <c r="C12" s="7" t="s">
        <v>16</v>
      </c>
      <c r="D12" s="8" t="s">
        <v>17</v>
      </c>
      <c r="E12" s="7"/>
      <c r="F12" s="69"/>
      <c r="G12" s="70"/>
      <c r="H12" s="70"/>
      <c r="I12" s="70"/>
      <c r="J12" s="70"/>
      <c r="K12" s="69"/>
      <c r="L12" s="69"/>
      <c r="M12" s="69"/>
      <c r="N12" s="69"/>
      <c r="O12" s="69"/>
      <c r="P12" s="69"/>
    </row>
    <row r="13" spans="1:16">
      <c r="A13" s="69"/>
      <c r="B13" s="4" t="s">
        <v>18</v>
      </c>
      <c r="C13" s="5">
        <v>49.45</v>
      </c>
      <c r="D13" s="9">
        <f>C13/C16</f>
        <v>0.7390524585263788</v>
      </c>
      <c r="E13" s="4"/>
      <c r="F13" s="69"/>
      <c r="G13" s="71"/>
      <c r="H13" s="72"/>
      <c r="I13" s="73"/>
      <c r="J13" s="71"/>
      <c r="K13" s="69"/>
      <c r="L13" s="69"/>
      <c r="M13" s="69"/>
      <c r="N13" s="69"/>
      <c r="O13" s="69"/>
      <c r="P13" s="69"/>
    </row>
    <row r="14" spans="1:16">
      <c r="A14" s="69"/>
      <c r="B14" s="4" t="s">
        <v>19</v>
      </c>
      <c r="C14" s="5">
        <v>16.46</v>
      </c>
      <c r="D14" s="9">
        <f>C14/C16</f>
        <v>0.24600209236287554</v>
      </c>
      <c r="E14" s="4"/>
      <c r="F14" s="69"/>
      <c r="G14" s="71"/>
      <c r="H14" s="72"/>
      <c r="I14" s="73"/>
      <c r="J14" s="71"/>
      <c r="K14" s="69"/>
      <c r="L14" s="69"/>
      <c r="M14" s="69"/>
      <c r="N14" s="69"/>
      <c r="O14" s="69"/>
      <c r="P14" s="69"/>
    </row>
    <row r="15" spans="1:16">
      <c r="A15" s="69"/>
      <c r="B15" s="4" t="s">
        <v>20</v>
      </c>
      <c r="C15" s="5">
        <v>1</v>
      </c>
      <c r="D15" s="9">
        <f>C15/C16</f>
        <v>1.4945449110745778E-2</v>
      </c>
      <c r="E15" s="4"/>
      <c r="F15" s="69"/>
      <c r="G15" s="71"/>
      <c r="H15" s="72"/>
      <c r="I15" s="73"/>
      <c r="J15" s="71"/>
      <c r="K15" s="69"/>
      <c r="L15" s="69"/>
      <c r="M15" s="69"/>
      <c r="N15" s="69"/>
      <c r="O15" s="69"/>
      <c r="P15" s="69"/>
    </row>
    <row r="16" spans="1:16">
      <c r="A16" s="69"/>
      <c r="B16" s="10" t="s">
        <v>21</v>
      </c>
      <c r="C16" s="11">
        <f>SUM(C13:C15)</f>
        <v>66.91</v>
      </c>
      <c r="D16" s="12"/>
      <c r="E16" s="10"/>
      <c r="F16" s="69"/>
      <c r="G16" s="71"/>
      <c r="H16" s="72"/>
      <c r="I16" s="72"/>
      <c r="J16" s="71"/>
      <c r="K16" s="69"/>
      <c r="L16" s="69"/>
      <c r="M16" s="69"/>
      <c r="N16" s="69"/>
      <c r="O16" s="69"/>
      <c r="P16" s="69"/>
    </row>
    <row r="17" spans="1:16">
      <c r="A17" s="69"/>
      <c r="B17" s="2"/>
      <c r="C17" s="2"/>
      <c r="D17" s="13"/>
      <c r="E17" s="2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</row>
    <row r="18" spans="1:16">
      <c r="A18" s="69"/>
      <c r="B18" s="7" t="s">
        <v>14</v>
      </c>
      <c r="C18" s="7" t="s">
        <v>16</v>
      </c>
      <c r="D18" s="14" t="s">
        <v>22</v>
      </c>
      <c r="E18" s="7"/>
      <c r="F18" s="69"/>
      <c r="G18" s="70"/>
      <c r="H18" s="70"/>
      <c r="I18" s="70"/>
      <c r="J18" s="70"/>
      <c r="K18" s="69"/>
      <c r="L18" s="69"/>
      <c r="M18" s="69"/>
      <c r="N18" s="69"/>
      <c r="O18" s="69"/>
      <c r="P18" s="69"/>
    </row>
    <row r="19" spans="1:16">
      <c r="A19" s="69"/>
      <c r="B19" s="4" t="s">
        <v>23</v>
      </c>
      <c r="C19" s="5">
        <v>64.709999999999994</v>
      </c>
      <c r="D19" s="9">
        <f>C19/C22</f>
        <v>0.99278919914084074</v>
      </c>
      <c r="E19" s="4"/>
      <c r="F19" s="69"/>
      <c r="G19" s="71"/>
      <c r="H19" s="72"/>
      <c r="I19" s="73"/>
      <c r="J19" s="71"/>
      <c r="K19" s="69"/>
      <c r="L19" s="69"/>
      <c r="M19" s="69"/>
      <c r="N19" s="69"/>
      <c r="O19" s="69"/>
      <c r="P19" s="69"/>
    </row>
    <row r="20" spans="1:16">
      <c r="A20" s="69"/>
      <c r="B20" s="4" t="s">
        <v>24</v>
      </c>
      <c r="C20" s="5">
        <v>0.47</v>
      </c>
      <c r="D20" s="9">
        <f>C20/C22</f>
        <v>7.2108008591592514E-3</v>
      </c>
      <c r="E20" s="4"/>
      <c r="F20" s="69"/>
      <c r="G20" s="71"/>
      <c r="H20" s="72"/>
      <c r="I20" s="73"/>
      <c r="J20" s="71"/>
      <c r="K20" s="69"/>
      <c r="L20" s="69"/>
      <c r="M20" s="69"/>
      <c r="N20" s="69"/>
      <c r="O20" s="69"/>
      <c r="P20" s="69"/>
    </row>
    <row r="21" spans="1:16">
      <c r="A21" s="69"/>
      <c r="B21" s="4" t="s">
        <v>25</v>
      </c>
      <c r="C21" s="5">
        <v>0</v>
      </c>
      <c r="D21" s="9">
        <f>C21/C22</f>
        <v>0</v>
      </c>
      <c r="E21" s="4"/>
      <c r="F21" s="69"/>
      <c r="G21" s="71"/>
      <c r="H21" s="72"/>
      <c r="I21" s="73"/>
      <c r="J21" s="71"/>
      <c r="K21" s="69"/>
      <c r="L21" s="69"/>
      <c r="M21" s="69"/>
      <c r="N21" s="69"/>
      <c r="O21" s="69"/>
      <c r="P21" s="69"/>
    </row>
    <row r="22" spans="1:16">
      <c r="A22" s="69"/>
      <c r="B22" s="10" t="s">
        <v>26</v>
      </c>
      <c r="C22" s="11">
        <f>SUM(C19:C21)</f>
        <v>65.179999999999993</v>
      </c>
      <c r="D22" s="12"/>
      <c r="E22" s="10"/>
      <c r="F22" s="69"/>
      <c r="G22" s="71"/>
      <c r="H22" s="72"/>
      <c r="I22" s="72"/>
      <c r="J22" s="71"/>
      <c r="K22" s="69"/>
      <c r="L22" s="69"/>
      <c r="M22" s="69"/>
      <c r="N22" s="69"/>
      <c r="O22" s="69"/>
      <c r="P22" s="69"/>
    </row>
    <row r="23" spans="1:16">
      <c r="A23" s="69"/>
      <c r="B23" s="2"/>
      <c r="C23" s="2"/>
      <c r="D23" s="13"/>
      <c r="E23" s="2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</row>
    <row r="24" spans="1:16">
      <c r="A24" s="69"/>
      <c r="B24" s="7" t="s">
        <v>42</v>
      </c>
      <c r="C24" s="7" t="s">
        <v>16</v>
      </c>
      <c r="D24" s="14" t="s">
        <v>28</v>
      </c>
      <c r="E24" s="7"/>
      <c r="F24" s="69"/>
      <c r="G24" s="70"/>
      <c r="H24" s="70"/>
      <c r="I24" s="70"/>
      <c r="J24" s="70"/>
      <c r="K24" s="69"/>
      <c r="L24" s="69"/>
      <c r="M24" s="69"/>
      <c r="N24" s="69"/>
      <c r="O24" s="69"/>
      <c r="P24" s="69"/>
    </row>
    <row r="25" spans="1:16">
      <c r="A25" s="69"/>
      <c r="B25" s="4" t="s">
        <v>43</v>
      </c>
      <c r="C25" s="5">
        <v>0.12</v>
      </c>
      <c r="D25" s="9">
        <f>C25/C28</f>
        <v>7.518796992481204E-2</v>
      </c>
      <c r="E25" s="4"/>
      <c r="F25" s="69"/>
      <c r="G25" s="71"/>
      <c r="H25" s="72"/>
      <c r="I25" s="73"/>
      <c r="J25" s="71"/>
      <c r="K25" s="69"/>
      <c r="L25" s="69"/>
      <c r="M25" s="69"/>
      <c r="N25" s="69"/>
      <c r="O25" s="69"/>
      <c r="P25" s="69"/>
    </row>
    <row r="26" spans="1:16">
      <c r="A26" s="69"/>
      <c r="B26" s="4" t="s">
        <v>44</v>
      </c>
      <c r="C26" s="5">
        <v>1.43</v>
      </c>
      <c r="D26" s="9">
        <f>C26/C28</f>
        <v>0.89598997493734345</v>
      </c>
      <c r="E26" s="4"/>
      <c r="F26" s="69"/>
      <c r="G26" s="71"/>
      <c r="H26" s="72"/>
      <c r="I26" s="72"/>
      <c r="J26" s="71"/>
      <c r="K26" s="69"/>
      <c r="L26" s="69"/>
      <c r="M26" s="69"/>
      <c r="N26" s="69"/>
      <c r="O26" s="69"/>
      <c r="P26" s="69"/>
    </row>
    <row r="27" spans="1:16">
      <c r="A27" s="69"/>
      <c r="B27" s="4" t="s">
        <v>45</v>
      </c>
      <c r="C27" s="5">
        <v>4.5999999999999999E-2</v>
      </c>
      <c r="D27" s="9">
        <f>C27/C28</f>
        <v>2.8822055137844613E-2</v>
      </c>
      <c r="E27" s="4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</row>
    <row r="28" spans="1:16">
      <c r="A28" s="69"/>
      <c r="B28" s="10" t="s">
        <v>31</v>
      </c>
      <c r="C28" s="11">
        <f>SUM(C25:C27)</f>
        <v>1.5959999999999999</v>
      </c>
      <c r="D28" s="12"/>
      <c r="E28" s="10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</row>
    <row r="29" spans="1:16">
      <c r="A29" s="69"/>
      <c r="B29" s="15" t="s">
        <v>32</v>
      </c>
      <c r="C29" s="16">
        <f>C28+C22+C16</f>
        <v>133.68599999999998</v>
      </c>
      <c r="D29" s="1"/>
      <c r="E29" s="2"/>
      <c r="F29" s="69"/>
      <c r="G29" s="107"/>
      <c r="H29" s="107"/>
      <c r="I29" s="107"/>
      <c r="J29" s="107"/>
      <c r="K29" s="69"/>
      <c r="L29" s="69"/>
      <c r="M29" s="69"/>
      <c r="N29" s="69"/>
      <c r="O29" s="69"/>
      <c r="P29" s="69"/>
    </row>
    <row r="30" spans="1:16">
      <c r="A30" s="69"/>
      <c r="B30" s="17"/>
      <c r="C30" s="39"/>
      <c r="D30" s="1"/>
      <c r="E30" s="2"/>
      <c r="F30" s="69"/>
      <c r="G30" s="71"/>
      <c r="H30" s="71"/>
      <c r="I30" s="71"/>
      <c r="J30" s="71"/>
      <c r="K30" s="69"/>
      <c r="L30" s="69"/>
      <c r="M30" s="69"/>
      <c r="N30" s="69"/>
      <c r="O30" s="69"/>
      <c r="P30" s="69"/>
    </row>
    <row r="31" spans="1:16">
      <c r="A31" s="69"/>
      <c r="B31" s="7"/>
      <c r="C31" s="7" t="s">
        <v>84</v>
      </c>
      <c r="D31" s="7"/>
      <c r="E31" s="7"/>
      <c r="F31" s="69"/>
      <c r="G31" s="71"/>
      <c r="H31" s="74"/>
      <c r="I31" s="74"/>
      <c r="J31" s="74"/>
      <c r="K31" s="69"/>
      <c r="L31" s="69"/>
      <c r="M31" s="69"/>
      <c r="N31" s="69"/>
      <c r="O31" s="69"/>
      <c r="P31" s="69"/>
    </row>
    <row r="32" spans="1:16">
      <c r="A32" s="69"/>
      <c r="B32" s="4" t="s">
        <v>58</v>
      </c>
      <c r="C32" s="40">
        <f>C13/(C13+C20+C25)</f>
        <v>0.98820943245403681</v>
      </c>
      <c r="D32" s="4"/>
      <c r="E32" s="4"/>
      <c r="F32" s="69"/>
      <c r="G32" s="75"/>
      <c r="H32" s="75"/>
      <c r="I32" s="75"/>
      <c r="J32" s="75"/>
      <c r="K32" s="69"/>
      <c r="L32" s="69"/>
      <c r="M32" s="69"/>
      <c r="N32" s="69"/>
      <c r="O32" s="69"/>
      <c r="P32" s="69"/>
    </row>
    <row r="33" spans="1:16">
      <c r="A33" s="69"/>
      <c r="B33" s="4" t="s">
        <v>59</v>
      </c>
      <c r="C33" s="40">
        <f>C19/(C19+C14+C25)</f>
        <v>0.79603887317013167</v>
      </c>
      <c r="D33" s="4"/>
      <c r="E33" s="4"/>
      <c r="F33" s="69"/>
      <c r="G33" s="75"/>
      <c r="H33" s="75"/>
      <c r="I33" s="75"/>
      <c r="J33" s="75"/>
      <c r="K33" s="69"/>
      <c r="L33" s="69"/>
      <c r="M33" s="69"/>
      <c r="N33" s="69"/>
      <c r="O33" s="69"/>
      <c r="P33" s="69"/>
    </row>
    <row r="34" spans="1:16">
      <c r="A34" s="69"/>
      <c r="B34" s="17"/>
      <c r="C34" s="39"/>
      <c r="D34" s="1"/>
      <c r="E34" s="2"/>
      <c r="F34" s="69"/>
      <c r="G34" s="75"/>
      <c r="H34" s="75"/>
      <c r="I34" s="75"/>
      <c r="J34" s="75"/>
      <c r="K34" s="69"/>
      <c r="L34" s="69"/>
      <c r="M34" s="69"/>
      <c r="N34" s="69"/>
      <c r="O34" s="69"/>
      <c r="P34" s="69"/>
    </row>
    <row r="35" spans="1:16">
      <c r="A35" s="69"/>
      <c r="B35" s="88" t="s">
        <v>33</v>
      </c>
      <c r="C35" s="88"/>
      <c r="D35" s="88"/>
      <c r="E35" s="88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</row>
    <row r="36" spans="1:16">
      <c r="B36" s="19"/>
      <c r="C36" s="20"/>
      <c r="D36" s="20"/>
      <c r="E36" s="21"/>
    </row>
    <row r="37" spans="1:16">
      <c r="B37" s="19"/>
      <c r="C37" s="22"/>
      <c r="D37" s="22"/>
      <c r="E37" s="23"/>
    </row>
    <row r="38" spans="1:16">
      <c r="B38" s="24"/>
      <c r="C38" s="25"/>
      <c r="D38" s="25"/>
      <c r="E38" s="26"/>
    </row>
    <row r="39" spans="1:16">
      <c r="B39" s="27"/>
      <c r="C39" s="28"/>
      <c r="D39" s="28"/>
      <c r="E39" s="29"/>
    </row>
    <row r="40" spans="1:16">
      <c r="B40" s="24"/>
      <c r="C40" s="25"/>
      <c r="D40" s="25"/>
      <c r="E40" s="26"/>
    </row>
  </sheetData>
  <mergeCells count="6">
    <mergeCell ref="G29:J29"/>
    <mergeCell ref="B35:E35"/>
    <mergeCell ref="B2:E2"/>
    <mergeCell ref="B3:E3"/>
    <mergeCell ref="B4:E4"/>
    <mergeCell ref="G6: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D802-8F8D-45DE-AD27-665CC43F11CD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2026-04-16T08:42:23Z</dcterms:created>
  <dcterms:modified xsi:type="dcterms:W3CDTF">2026-06-03T19:41:39Z</dcterms:modified>
  <cp:category/>
  <cp:contentStatus/>
</cp:coreProperties>
</file>