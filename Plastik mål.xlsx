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s235168_dtu_dk/Documents/Skrivebord/DTU/6. semester/Bachelor/Calc/"/>
    </mc:Choice>
  </mc:AlternateContent>
  <xr:revisionPtr revIDLastSave="0" documentId="8_{A334A22F-A8DD-4715-9D1C-D6C018350DCA}" xr6:coauthVersionLast="47" xr6:coauthVersionMax="47" xr10:uidLastSave="{00000000-0000-0000-0000-000000000000}"/>
  <bookViews>
    <workbookView xWindow="-98" yWindow="-98" windowWidth="21795" windowHeight="13695" firstSheet="1" activeTab="1" xr2:uid="{1C797259-17BD-49AD-8013-0AB9366E374E}"/>
  </bookViews>
  <sheets>
    <sheet name="Grundfoss" sheetId="1" r:id="rId1"/>
    <sheet name="Intralox" sheetId="3" r:id="rId2"/>
    <sheet name="Choko-bob" sheetId="5" r:id="rId3"/>
    <sheet name="Test mål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8" i="3" l="1"/>
  <c r="F10" i="6"/>
  <c r="I27" i="6"/>
  <c r="I26" i="6"/>
  <c r="I25" i="6"/>
  <c r="I24" i="6"/>
  <c r="I23" i="6"/>
  <c r="I28" i="6" s="1"/>
  <c r="M18" i="6"/>
  <c r="M17" i="6"/>
  <c r="M16" i="6"/>
  <c r="M15" i="6"/>
  <c r="M14" i="6"/>
  <c r="M19" i="6" s="1"/>
  <c r="F18" i="6"/>
  <c r="F17" i="6"/>
  <c r="F16" i="6"/>
  <c r="F15" i="6"/>
  <c r="F14" i="6"/>
  <c r="F19" i="6" s="1"/>
  <c r="M9" i="6"/>
  <c r="M8" i="6"/>
  <c r="M7" i="6"/>
  <c r="M6" i="6"/>
  <c r="M5" i="6"/>
  <c r="M10" i="6" s="1"/>
  <c r="F9" i="6"/>
  <c r="F8" i="6"/>
  <c r="F7" i="6"/>
  <c r="F6" i="6"/>
  <c r="F5" i="6"/>
  <c r="H28" i="6"/>
  <c r="G28" i="6"/>
  <c r="F28" i="6"/>
  <c r="E28" i="6"/>
  <c r="D24" i="6"/>
  <c r="D25" i="6" s="1"/>
  <c r="D26" i="6" s="1"/>
  <c r="D27" i="6" s="1"/>
  <c r="L19" i="6"/>
  <c r="K19" i="6"/>
  <c r="J19" i="6"/>
  <c r="I19" i="6"/>
  <c r="H15" i="6"/>
  <c r="H16" i="6" s="1"/>
  <c r="H17" i="6" s="1"/>
  <c r="H18" i="6" s="1"/>
  <c r="E19" i="6"/>
  <c r="D19" i="6"/>
  <c r="C19" i="6"/>
  <c r="B19" i="6"/>
  <c r="A15" i="6"/>
  <c r="A16" i="6" s="1"/>
  <c r="A17" i="6" s="1"/>
  <c r="A18" i="6" s="1"/>
  <c r="L10" i="6"/>
  <c r="K10" i="6"/>
  <c r="J10" i="6"/>
  <c r="I10" i="6"/>
  <c r="H6" i="6"/>
  <c r="H7" i="6" s="1"/>
  <c r="H8" i="6" s="1"/>
  <c r="H9" i="6" s="1"/>
  <c r="E10" i="6"/>
  <c r="D10" i="6"/>
  <c r="C10" i="6"/>
  <c r="B10" i="6"/>
  <c r="A6" i="6"/>
  <c r="A7" i="6" s="1"/>
  <c r="A8" i="6" s="1"/>
  <c r="A9" i="6" s="1"/>
  <c r="R39" i="5"/>
  <c r="Q39" i="5"/>
  <c r="P39" i="5"/>
  <c r="P40" i="5"/>
  <c r="G28" i="1"/>
  <c r="H28" i="1"/>
  <c r="F28" i="1"/>
  <c r="F29" i="1"/>
  <c r="C28" i="1"/>
  <c r="B28" i="1"/>
  <c r="B29" i="1"/>
  <c r="S8" i="3"/>
  <c r="M181" i="3"/>
  <c r="M182" i="3"/>
  <c r="M183" i="3"/>
  <c r="M184" i="3"/>
  <c r="M185" i="3"/>
  <c r="M186" i="3"/>
  <c r="M187" i="3"/>
  <c r="M188" i="3"/>
  <c r="M189" i="3"/>
  <c r="M190" i="3"/>
  <c r="F181" i="3"/>
  <c r="F182" i="3"/>
  <c r="F183" i="3"/>
  <c r="F184" i="3"/>
  <c r="F185" i="3"/>
  <c r="F186" i="3"/>
  <c r="F187" i="3"/>
  <c r="F188" i="3"/>
  <c r="F189" i="3"/>
  <c r="F190" i="3"/>
  <c r="M148" i="3"/>
  <c r="M149" i="3"/>
  <c r="M150" i="3"/>
  <c r="M151" i="3"/>
  <c r="M152" i="3"/>
  <c r="M153" i="3"/>
  <c r="M154" i="3"/>
  <c r="M155" i="3"/>
  <c r="M156" i="3"/>
  <c r="M157" i="3"/>
  <c r="F148" i="3"/>
  <c r="F149" i="3"/>
  <c r="F150" i="3"/>
  <c r="F151" i="3"/>
  <c r="F152" i="3"/>
  <c r="F153" i="3"/>
  <c r="F154" i="3"/>
  <c r="F155" i="3"/>
  <c r="F156" i="3"/>
  <c r="F157" i="3"/>
  <c r="M116" i="3"/>
  <c r="M117" i="3"/>
  <c r="M118" i="3"/>
  <c r="M119" i="3"/>
  <c r="M120" i="3"/>
  <c r="M121" i="3"/>
  <c r="M122" i="3"/>
  <c r="M123" i="3"/>
  <c r="M124" i="3"/>
  <c r="M125" i="3"/>
  <c r="F116" i="3"/>
  <c r="F117" i="3"/>
  <c r="F118" i="3"/>
  <c r="F119" i="3"/>
  <c r="F120" i="3"/>
  <c r="F121" i="3"/>
  <c r="F122" i="3"/>
  <c r="F123" i="3"/>
  <c r="F124" i="3"/>
  <c r="F125" i="3"/>
  <c r="T20" i="5"/>
  <c r="T21" i="5"/>
  <c r="T22" i="5"/>
  <c r="T23" i="5"/>
  <c r="T24" i="5"/>
  <c r="T25" i="5"/>
  <c r="T26" i="5"/>
  <c r="T27" i="5"/>
  <c r="T28" i="5"/>
  <c r="T29" i="5"/>
  <c r="M20" i="5"/>
  <c r="M21" i="5"/>
  <c r="M22" i="5"/>
  <c r="M23" i="5"/>
  <c r="M24" i="5"/>
  <c r="M25" i="5"/>
  <c r="M26" i="5"/>
  <c r="M27" i="5"/>
  <c r="M28" i="5"/>
  <c r="M29" i="5"/>
  <c r="F20" i="5"/>
  <c r="F21" i="5"/>
  <c r="F22" i="5"/>
  <c r="F23" i="5"/>
  <c r="F24" i="5"/>
  <c r="F25" i="5"/>
  <c r="F26" i="5"/>
  <c r="F27" i="5"/>
  <c r="F28" i="5"/>
  <c r="F29" i="5"/>
  <c r="M97" i="5"/>
  <c r="K97" i="5"/>
  <c r="J97" i="5"/>
  <c r="I97" i="5"/>
  <c r="F97" i="5"/>
  <c r="D97" i="5"/>
  <c r="C97" i="5"/>
  <c r="B97" i="5"/>
  <c r="M75" i="5"/>
  <c r="K75" i="5"/>
  <c r="J75" i="5"/>
  <c r="I75" i="5"/>
  <c r="F75" i="5"/>
  <c r="D75" i="5"/>
  <c r="C75" i="5"/>
  <c r="B75" i="5"/>
  <c r="M52" i="5"/>
  <c r="K52" i="5"/>
  <c r="J52" i="5"/>
  <c r="I52" i="5"/>
  <c r="E52" i="5"/>
  <c r="D52" i="5"/>
  <c r="C52" i="5"/>
  <c r="B52" i="5"/>
  <c r="M96" i="5"/>
  <c r="F96" i="5"/>
  <c r="M74" i="5"/>
  <c r="F74" i="5"/>
  <c r="M51" i="5"/>
  <c r="F51" i="5"/>
  <c r="M95" i="5"/>
  <c r="F95" i="5"/>
  <c r="M73" i="5"/>
  <c r="F73" i="5"/>
  <c r="M50" i="5"/>
  <c r="F50" i="5"/>
  <c r="M94" i="5"/>
  <c r="F94" i="5"/>
  <c r="M72" i="5"/>
  <c r="F72" i="5"/>
  <c r="M49" i="5"/>
  <c r="F49" i="5"/>
  <c r="M93" i="5"/>
  <c r="F93" i="5"/>
  <c r="M71" i="5"/>
  <c r="F71" i="5"/>
  <c r="M48" i="5"/>
  <c r="F48" i="5"/>
  <c r="M92" i="5"/>
  <c r="F92" i="5"/>
  <c r="M70" i="5"/>
  <c r="F70" i="5"/>
  <c r="M47" i="5"/>
  <c r="F47" i="5"/>
  <c r="M91" i="5"/>
  <c r="F91" i="5"/>
  <c r="M69" i="5"/>
  <c r="F69" i="5"/>
  <c r="M46" i="5"/>
  <c r="F46" i="5"/>
  <c r="M90" i="5"/>
  <c r="F90" i="5"/>
  <c r="M68" i="5"/>
  <c r="F68" i="5"/>
  <c r="M45" i="5"/>
  <c r="F45" i="5"/>
  <c r="M89" i="5"/>
  <c r="F89" i="5"/>
  <c r="M67" i="5"/>
  <c r="F67" i="5"/>
  <c r="M44" i="5"/>
  <c r="F44" i="5"/>
  <c r="M88" i="5"/>
  <c r="F88" i="5"/>
  <c r="M66" i="5"/>
  <c r="F66" i="5"/>
  <c r="M43" i="5"/>
  <c r="F43" i="5"/>
  <c r="M87" i="5"/>
  <c r="F87" i="5"/>
  <c r="M65" i="5"/>
  <c r="F65" i="5"/>
  <c r="M42" i="5"/>
  <c r="F42" i="5"/>
  <c r="M86" i="5"/>
  <c r="F86" i="5"/>
  <c r="M64" i="5"/>
  <c r="F64" i="5"/>
  <c r="M41" i="5"/>
  <c r="F41" i="5"/>
  <c r="M85" i="5"/>
  <c r="F85" i="5"/>
  <c r="M63" i="5"/>
  <c r="F63" i="5"/>
  <c r="M40" i="5"/>
  <c r="F40" i="5"/>
  <c r="M84" i="5"/>
  <c r="F84" i="5"/>
  <c r="M62" i="5"/>
  <c r="F62" i="5"/>
  <c r="M39" i="5"/>
  <c r="F39" i="5"/>
  <c r="M83" i="5"/>
  <c r="H83" i="5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F83" i="5"/>
  <c r="A83" i="5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M61" i="5"/>
  <c r="H61" i="5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F61" i="5"/>
  <c r="A61" i="5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M38" i="5"/>
  <c r="H38" i="5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F38" i="5"/>
  <c r="A38" i="5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M82" i="5"/>
  <c r="L97" i="5" s="1"/>
  <c r="F82" i="5"/>
  <c r="E97" i="5" s="1"/>
  <c r="M60" i="5"/>
  <c r="L75" i="5" s="1"/>
  <c r="F60" i="5"/>
  <c r="E75" i="5" s="1"/>
  <c r="M37" i="5"/>
  <c r="L52" i="5" s="1"/>
  <c r="F37" i="5"/>
  <c r="F52" i="5" s="1"/>
  <c r="S30" i="5"/>
  <c r="R30" i="5"/>
  <c r="Q30" i="5"/>
  <c r="P3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O6" i="5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T5" i="5"/>
  <c r="T30" i="5" s="1"/>
  <c r="L30" i="5"/>
  <c r="K30" i="5"/>
  <c r="J30" i="5"/>
  <c r="I3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H6" i="5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M5" i="5"/>
  <c r="M30" i="5" s="1"/>
  <c r="E30" i="5"/>
  <c r="D30" i="5"/>
  <c r="C30" i="5"/>
  <c r="B3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F5" i="5"/>
  <c r="F30" i="5" s="1"/>
  <c r="P8" i="3"/>
  <c r="M191" i="3"/>
  <c r="K191" i="3"/>
  <c r="J191" i="3"/>
  <c r="I191" i="3"/>
  <c r="E191" i="3"/>
  <c r="D191" i="3"/>
  <c r="C191" i="3"/>
  <c r="B191" i="3"/>
  <c r="M180" i="3"/>
  <c r="F180" i="3"/>
  <c r="M179" i="3"/>
  <c r="F179" i="3"/>
  <c r="M178" i="3"/>
  <c r="F178" i="3"/>
  <c r="M177" i="3"/>
  <c r="F177" i="3"/>
  <c r="M176" i="3"/>
  <c r="F176" i="3"/>
  <c r="M175" i="3"/>
  <c r="F175" i="3"/>
  <c r="M174" i="3"/>
  <c r="F174" i="3"/>
  <c r="M173" i="3"/>
  <c r="F173" i="3"/>
  <c r="M172" i="3"/>
  <c r="F172" i="3"/>
  <c r="M171" i="3"/>
  <c r="F171" i="3"/>
  <c r="M170" i="3"/>
  <c r="F170" i="3"/>
  <c r="M169" i="3"/>
  <c r="F169" i="3"/>
  <c r="M168" i="3"/>
  <c r="F168" i="3"/>
  <c r="M167" i="3"/>
  <c r="H167" i="3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F167" i="3"/>
  <c r="A167" i="3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M166" i="3"/>
  <c r="L191" i="3" s="1"/>
  <c r="F166" i="3"/>
  <c r="F191" i="3" s="1"/>
  <c r="M158" i="3"/>
  <c r="K158" i="3"/>
  <c r="J158" i="3"/>
  <c r="I158" i="3"/>
  <c r="E158" i="3"/>
  <c r="D158" i="3"/>
  <c r="C158" i="3"/>
  <c r="B158" i="3"/>
  <c r="M147" i="3"/>
  <c r="F147" i="3"/>
  <c r="M146" i="3"/>
  <c r="F146" i="3"/>
  <c r="M145" i="3"/>
  <c r="F145" i="3"/>
  <c r="M144" i="3"/>
  <c r="F144" i="3"/>
  <c r="M143" i="3"/>
  <c r="F143" i="3"/>
  <c r="M142" i="3"/>
  <c r="F142" i="3"/>
  <c r="M141" i="3"/>
  <c r="F141" i="3"/>
  <c r="M140" i="3"/>
  <c r="F140" i="3"/>
  <c r="M139" i="3"/>
  <c r="F139" i="3"/>
  <c r="M138" i="3"/>
  <c r="F138" i="3"/>
  <c r="M137" i="3"/>
  <c r="F137" i="3"/>
  <c r="M136" i="3"/>
  <c r="F136" i="3"/>
  <c r="M135" i="3"/>
  <c r="F135" i="3"/>
  <c r="M134" i="3"/>
  <c r="H134" i="3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F134" i="3"/>
  <c r="A134" i="3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M133" i="3"/>
  <c r="F133" i="3"/>
  <c r="F158" i="3" s="1"/>
  <c r="M126" i="3"/>
  <c r="K126" i="3"/>
  <c r="J126" i="3"/>
  <c r="I126" i="3"/>
  <c r="E126" i="3"/>
  <c r="D126" i="3"/>
  <c r="C126" i="3"/>
  <c r="B126" i="3"/>
  <c r="M115" i="3"/>
  <c r="F115" i="3"/>
  <c r="M114" i="3"/>
  <c r="F114" i="3"/>
  <c r="M113" i="3"/>
  <c r="F113" i="3"/>
  <c r="M112" i="3"/>
  <c r="F112" i="3"/>
  <c r="M111" i="3"/>
  <c r="F111" i="3"/>
  <c r="M110" i="3"/>
  <c r="F110" i="3"/>
  <c r="M109" i="3"/>
  <c r="F109" i="3"/>
  <c r="M108" i="3"/>
  <c r="F108" i="3"/>
  <c r="M107" i="3"/>
  <c r="F107" i="3"/>
  <c r="M106" i="3"/>
  <c r="F106" i="3"/>
  <c r="M105" i="3"/>
  <c r="F105" i="3"/>
  <c r="M104" i="3"/>
  <c r="F104" i="3"/>
  <c r="M103" i="3"/>
  <c r="F103" i="3"/>
  <c r="M102" i="3"/>
  <c r="H102" i="3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F102" i="3"/>
  <c r="A102" i="3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M101" i="3"/>
  <c r="L126" i="3" s="1"/>
  <c r="F101" i="3"/>
  <c r="F126" i="3" s="1"/>
  <c r="K89" i="3"/>
  <c r="J89" i="3"/>
  <c r="I89" i="3"/>
  <c r="I90" i="3" s="1"/>
  <c r="F89" i="3"/>
  <c r="D89" i="3"/>
  <c r="C89" i="3"/>
  <c r="B89" i="3"/>
  <c r="B90" i="3" s="1"/>
  <c r="M88" i="3"/>
  <c r="F88" i="3"/>
  <c r="M87" i="3"/>
  <c r="F87" i="3"/>
  <c r="M86" i="3"/>
  <c r="F86" i="3"/>
  <c r="M85" i="3"/>
  <c r="F85" i="3"/>
  <c r="M84" i="3"/>
  <c r="F84" i="3"/>
  <c r="M83" i="3"/>
  <c r="F83" i="3"/>
  <c r="M82" i="3"/>
  <c r="F82" i="3"/>
  <c r="M81" i="3"/>
  <c r="F81" i="3"/>
  <c r="M80" i="3"/>
  <c r="F80" i="3"/>
  <c r="M79" i="3"/>
  <c r="F79" i="3"/>
  <c r="M78" i="3"/>
  <c r="F78" i="3"/>
  <c r="M77" i="3"/>
  <c r="F77" i="3"/>
  <c r="M76" i="3"/>
  <c r="F76" i="3"/>
  <c r="M75" i="3"/>
  <c r="H75" i="3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F75" i="3"/>
  <c r="A75" i="3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M74" i="3"/>
  <c r="F74" i="3"/>
  <c r="E89" i="3" s="1"/>
  <c r="M43" i="3"/>
  <c r="K43" i="3"/>
  <c r="J43" i="3"/>
  <c r="I43" i="3"/>
  <c r="I44" i="3" s="1"/>
  <c r="E43" i="3"/>
  <c r="D43" i="3"/>
  <c r="C43" i="3"/>
  <c r="B43" i="3"/>
  <c r="B44" i="3" s="1"/>
  <c r="M42" i="3"/>
  <c r="F42" i="3"/>
  <c r="M41" i="3"/>
  <c r="F41" i="3"/>
  <c r="M40" i="3"/>
  <c r="F40" i="3"/>
  <c r="M39" i="3"/>
  <c r="F39" i="3"/>
  <c r="M38" i="3"/>
  <c r="F38" i="3"/>
  <c r="M37" i="3"/>
  <c r="F37" i="3"/>
  <c r="M36" i="3"/>
  <c r="F36" i="3"/>
  <c r="M35" i="3"/>
  <c r="F35" i="3"/>
  <c r="M34" i="3"/>
  <c r="F34" i="3"/>
  <c r="M33" i="3"/>
  <c r="F33" i="3"/>
  <c r="M32" i="3"/>
  <c r="F32" i="3"/>
  <c r="M31" i="3"/>
  <c r="F31" i="3"/>
  <c r="M30" i="3"/>
  <c r="F30" i="3"/>
  <c r="M29" i="3"/>
  <c r="H29" i="3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F29" i="3"/>
  <c r="A29" i="3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M28" i="3"/>
  <c r="L43" i="3" s="1"/>
  <c r="F28" i="3"/>
  <c r="F43" i="3" s="1"/>
  <c r="M66" i="3"/>
  <c r="K66" i="3"/>
  <c r="J66" i="3"/>
  <c r="I66" i="3"/>
  <c r="I67" i="3" s="1"/>
  <c r="F66" i="3"/>
  <c r="D66" i="3"/>
  <c r="C66" i="3"/>
  <c r="B66" i="3"/>
  <c r="B67" i="3" s="1"/>
  <c r="M65" i="3"/>
  <c r="F65" i="3"/>
  <c r="M64" i="3"/>
  <c r="F64" i="3"/>
  <c r="M63" i="3"/>
  <c r="F63" i="3"/>
  <c r="M62" i="3"/>
  <c r="F62" i="3"/>
  <c r="M61" i="3"/>
  <c r="F61" i="3"/>
  <c r="M60" i="3"/>
  <c r="F60" i="3"/>
  <c r="M59" i="3"/>
  <c r="F59" i="3"/>
  <c r="M58" i="3"/>
  <c r="F58" i="3"/>
  <c r="M57" i="3"/>
  <c r="F57" i="3"/>
  <c r="M56" i="3"/>
  <c r="F56" i="3"/>
  <c r="M55" i="3"/>
  <c r="F55" i="3"/>
  <c r="M54" i="3"/>
  <c r="F54" i="3"/>
  <c r="M53" i="3"/>
  <c r="F53" i="3"/>
  <c r="M52" i="3"/>
  <c r="H52" i="3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F52" i="3"/>
  <c r="A52" i="3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M51" i="3"/>
  <c r="L66" i="3" s="1"/>
  <c r="F51" i="3"/>
  <c r="E66" i="3" s="1"/>
  <c r="M5" i="3"/>
  <c r="M19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5" i="1"/>
  <c r="M14" i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5" i="1"/>
  <c r="M17" i="1"/>
  <c r="M6" i="1"/>
  <c r="M7" i="1"/>
  <c r="M8" i="1"/>
  <c r="M9" i="1"/>
  <c r="M10" i="1"/>
  <c r="M11" i="1"/>
  <c r="M12" i="1"/>
  <c r="M13" i="1"/>
  <c r="M15" i="1"/>
  <c r="M16" i="1"/>
  <c r="M18" i="1"/>
  <c r="M19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L20" i="3"/>
  <c r="K20" i="3"/>
  <c r="J20" i="3"/>
  <c r="I20" i="3"/>
  <c r="I21" i="3" s="1"/>
  <c r="E20" i="3"/>
  <c r="D20" i="3"/>
  <c r="C20" i="3"/>
  <c r="B20" i="3"/>
  <c r="B21" i="3" s="1"/>
  <c r="H6" i="3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M20" i="3"/>
  <c r="F20" i="3"/>
  <c r="L20" i="1"/>
  <c r="E20" i="1"/>
  <c r="K20" i="1"/>
  <c r="J20" i="1"/>
  <c r="I20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M20" i="1"/>
  <c r="C20" i="1"/>
  <c r="D20" i="1"/>
  <c r="B20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L89" i="3" l="1"/>
  <c r="M89" i="3"/>
</calcChain>
</file>

<file path=xl/sharedStrings.xml><?xml version="1.0" encoding="utf-8"?>
<sst xmlns="http://schemas.openxmlformats.org/spreadsheetml/2006/main" count="301" uniqueCount="47">
  <si>
    <t>PA66GF30-Messing</t>
  </si>
  <si>
    <t>PA66 30GF (sort)</t>
  </si>
  <si>
    <t>Messing</t>
  </si>
  <si>
    <t>Sample</t>
  </si>
  <si>
    <t>Kort (c)</t>
  </si>
  <si>
    <t>Mellem (b)</t>
  </si>
  <si>
    <t>Lang (a)</t>
  </si>
  <si>
    <t>Vægt</t>
  </si>
  <si>
    <t>ψ</t>
  </si>
  <si>
    <t>AVG</t>
  </si>
  <si>
    <t>Densitet måling: messing</t>
  </si>
  <si>
    <t>Densitet måling: PA66-GF30</t>
  </si>
  <si>
    <t>Forsøg</t>
  </si>
  <si>
    <t>A</t>
  </si>
  <si>
    <t>B</t>
  </si>
  <si>
    <t>rho_vand</t>
  </si>
  <si>
    <t>Densitet:</t>
  </si>
  <si>
    <t>AVG:</t>
  </si>
  <si>
    <t>TPU-POM</t>
  </si>
  <si>
    <t>Orange</t>
  </si>
  <si>
    <t>Sort</t>
  </si>
  <si>
    <t>Densitet forsøg:</t>
  </si>
  <si>
    <t>Densitet POM</t>
  </si>
  <si>
    <t>Densitet TPU</t>
  </si>
  <si>
    <t>rho_v</t>
  </si>
  <si>
    <t>Sidelængde</t>
  </si>
  <si>
    <t>TPU-POM (2)</t>
  </si>
  <si>
    <t>Mål på de forkerte 6,3mm</t>
  </si>
  <si>
    <t>TPU fejlsorteret i underflow</t>
  </si>
  <si>
    <t>POM fejlsorteret i overflow</t>
  </si>
  <si>
    <t>Mål på de forkerte 4mm</t>
  </si>
  <si>
    <t>Mål på de forkerte 1,8mm</t>
  </si>
  <si>
    <t>Ekstra mål  6,3mm</t>
  </si>
  <si>
    <t>TPU</t>
  </si>
  <si>
    <t>POM</t>
  </si>
  <si>
    <t>Ekstra mål  4mm</t>
  </si>
  <si>
    <t>Ekstra mål  1,8mm</t>
  </si>
  <si>
    <t>Epoxy-POM</t>
  </si>
  <si>
    <t>Epoxy 1,8mm</t>
  </si>
  <si>
    <t>Epoxy 4mm</t>
  </si>
  <si>
    <t>Epoxy  6,3mm</t>
  </si>
  <si>
    <t>epoxy (1)</t>
  </si>
  <si>
    <t>Densitet måling:</t>
  </si>
  <si>
    <t>POM fejlsorteret i underflow</t>
  </si>
  <si>
    <t>Epoxy fejlsorteret i overflow</t>
  </si>
  <si>
    <t>PA66-GF30</t>
  </si>
  <si>
    <t>Epoxy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</si>
</sst>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rgb="FF000000"/>
      <name val="Aptos Narrow"/>
      <scheme val="minor"/>
    </font>
    <font>
      <b/>
      <sz val="48"/>
      <color rgb="FF000000"/>
      <name val="Aptos Narrow"/>
      <scheme val="minor"/>
    </font>
    <font>
      <b/>
      <sz val="36"/>
      <color rgb="FF000000"/>
      <name val="Aptos Narrow"/>
      <scheme val="minor"/>
    </font>
    <font>
      <b/>
      <sz val="26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65" fontId="0" fillId="0" borderId="0" xfId="0" applyNumberFormat="1"/>
    <xf numFmtId="2" fontId="0" fillId="5" borderId="0" xfId="0" applyNumberFormat="1" applyFill="1"/>
    <xf numFmtId="0" fontId="3" fillId="5" borderId="6" xfId="0" applyFont="1" applyFill="1" applyBorder="1"/>
    <xf numFmtId="165" fontId="0" fillId="5" borderId="7" xfId="0" applyNumberFormat="1" applyFill="1" applyBorder="1"/>
    <xf numFmtId="0" fontId="0" fillId="5" borderId="6" xfId="0" applyFill="1" applyBorder="1"/>
    <xf numFmtId="0" fontId="0" fillId="5" borderId="7" xfId="0" applyFill="1" applyBorder="1"/>
    <xf numFmtId="165" fontId="0" fillId="5" borderId="8" xfId="0" applyNumberFormat="1" applyFill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FD1A-A273-4F23-8767-C96CC5C36BB9}">
  <sheetPr>
    <pageSetUpPr fitToPage="1"/>
  </sheetPr>
  <dimension ref="A1:W30"/>
  <sheetViews>
    <sheetView workbookViewId="0">
      <selection activeCell="H32" sqref="H32"/>
    </sheetView>
  </sheetViews>
  <sheetFormatPr defaultColWidth="8.7109375" defaultRowHeight="14.25"/>
  <cols>
    <col min="1" max="1" width="11.5703125" bestFit="1" customWidth="1"/>
    <col min="3" max="3" width="10.5703125" bestFit="1" customWidth="1"/>
    <col min="8" max="8" width="11.5703125" bestFit="1" customWidth="1"/>
    <col min="10" max="10" width="10.5703125" bestFit="1" customWidth="1"/>
  </cols>
  <sheetData>
    <row r="1" spans="1:23" ht="34.5">
      <c r="A1" s="35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3" ht="15"/>
    <row r="3" spans="1:23" ht="14.25" customHeight="1">
      <c r="B3" s="26" t="s">
        <v>1</v>
      </c>
      <c r="C3" s="26"/>
      <c r="D3" s="26"/>
      <c r="E3" s="26"/>
      <c r="I3" s="26" t="s">
        <v>2</v>
      </c>
      <c r="J3" s="26"/>
      <c r="K3" s="26"/>
      <c r="L3" s="26"/>
    </row>
    <row r="4" spans="1:23" ht="1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8</v>
      </c>
    </row>
    <row r="5" spans="1:23" ht="15">
      <c r="A5" s="1">
        <v>1</v>
      </c>
      <c r="B5" s="5">
        <v>4.49</v>
      </c>
      <c r="C5" s="5">
        <v>9.3699999999999992</v>
      </c>
      <c r="D5" s="5">
        <v>13.86</v>
      </c>
      <c r="E5" s="6">
        <v>0.36130000000000001</v>
      </c>
      <c r="F5" s="6">
        <f>(B5^2/(C5*D5))^(1/3)</f>
        <v>0.53743995930696187</v>
      </c>
      <c r="H5" s="1">
        <v>1</v>
      </c>
      <c r="I5" s="5">
        <v>7.51</v>
      </c>
      <c r="J5" s="5">
        <v>8</v>
      </c>
      <c r="K5" s="5">
        <v>10.74</v>
      </c>
      <c r="L5" s="6">
        <v>1.2645</v>
      </c>
      <c r="M5" s="6">
        <f>(I5^2/(J5*K5))^(1/3)</f>
        <v>0.86908422812412145</v>
      </c>
    </row>
    <row r="6" spans="1:23" ht="15">
      <c r="A6" s="1">
        <f>A5 + 1</f>
        <v>2</v>
      </c>
      <c r="B6" s="5">
        <v>6.2</v>
      </c>
      <c r="C6" s="5">
        <v>7.75</v>
      </c>
      <c r="D6" s="5">
        <v>10.35</v>
      </c>
      <c r="E6" s="6">
        <v>0.30030000000000001</v>
      </c>
      <c r="F6" s="6">
        <f t="shared" ref="F6:F19" si="0">(B6^2/(C6*D6))^(1/3)</f>
        <v>0.78255302679508876</v>
      </c>
      <c r="H6" s="1">
        <f>H5 + 1</f>
        <v>2</v>
      </c>
      <c r="I6" s="5">
        <v>2.1800000000000002</v>
      </c>
      <c r="J6" s="5">
        <v>6.08</v>
      </c>
      <c r="K6" s="5">
        <v>7.92</v>
      </c>
      <c r="L6" s="6">
        <v>0.39489999999999997</v>
      </c>
      <c r="M6" s="6">
        <f t="shared" ref="M6:M19" si="1">(I6^2/(J6*K6))^(1/3)</f>
        <v>0.46212706985844509</v>
      </c>
    </row>
    <row r="7" spans="1:23" ht="15">
      <c r="A7" s="1">
        <f t="shared" ref="A7:A19" si="2">A6 + 1</f>
        <v>3</v>
      </c>
      <c r="B7" s="5">
        <v>5.23</v>
      </c>
      <c r="C7" s="5">
        <v>9.0299999999999994</v>
      </c>
      <c r="D7" s="5">
        <v>11.01</v>
      </c>
      <c r="E7" s="6">
        <v>0.29189999999999999</v>
      </c>
      <c r="F7" s="6">
        <f t="shared" si="0"/>
        <v>0.65039336600495234</v>
      </c>
      <c r="H7" s="1">
        <f t="shared" ref="H7:H19" si="3">H6 + 1</f>
        <v>3</v>
      </c>
      <c r="I7" s="5">
        <v>2.42</v>
      </c>
      <c r="J7" s="5">
        <v>6.01</v>
      </c>
      <c r="K7" s="5">
        <v>7.07</v>
      </c>
      <c r="L7" s="6">
        <v>0.45450000000000002</v>
      </c>
      <c r="M7" s="6">
        <f t="shared" si="1"/>
        <v>0.51654990029581105</v>
      </c>
    </row>
    <row r="8" spans="1:23" ht="15">
      <c r="A8" s="1">
        <f t="shared" si="2"/>
        <v>4</v>
      </c>
      <c r="B8" s="5">
        <v>3.37</v>
      </c>
      <c r="C8" s="5">
        <v>5.57</v>
      </c>
      <c r="D8" s="5">
        <v>10.11</v>
      </c>
      <c r="E8" s="6">
        <v>9.9699999999999997E-2</v>
      </c>
      <c r="F8" s="6">
        <f t="shared" si="0"/>
        <v>0.58643221124753164</v>
      </c>
      <c r="H8" s="1">
        <f t="shared" si="3"/>
        <v>4</v>
      </c>
      <c r="I8" s="5">
        <v>2.19</v>
      </c>
      <c r="J8" s="5">
        <v>3.24</v>
      </c>
      <c r="K8" s="5">
        <v>5.69</v>
      </c>
      <c r="L8" s="6">
        <v>0.15579999999999999</v>
      </c>
      <c r="M8" s="6">
        <f t="shared" si="1"/>
        <v>0.63837663674395972</v>
      </c>
    </row>
    <row r="9" spans="1:23" ht="15">
      <c r="A9" s="1">
        <f t="shared" si="2"/>
        <v>5</v>
      </c>
      <c r="B9" s="5">
        <v>4.71</v>
      </c>
      <c r="C9" s="5">
        <v>5.93</v>
      </c>
      <c r="D9" s="5">
        <v>8.06</v>
      </c>
      <c r="E9" s="6">
        <v>0.14829999999999999</v>
      </c>
      <c r="F9" s="6">
        <f t="shared" si="0"/>
        <v>0.77425501377920203</v>
      </c>
      <c r="H9" s="1">
        <f t="shared" si="3"/>
        <v>5</v>
      </c>
      <c r="I9" s="5">
        <v>1.86</v>
      </c>
      <c r="J9" s="5">
        <v>3.67</v>
      </c>
      <c r="K9" s="5">
        <v>8.69</v>
      </c>
      <c r="L9" s="6">
        <v>0.2429</v>
      </c>
      <c r="M9" s="6">
        <f t="shared" si="1"/>
        <v>0.47692125990333473</v>
      </c>
    </row>
    <row r="10" spans="1:23" ht="15">
      <c r="A10" s="1">
        <f t="shared" si="2"/>
        <v>6</v>
      </c>
      <c r="B10" s="5">
        <v>3.92</v>
      </c>
      <c r="C10" s="5">
        <v>3.94</v>
      </c>
      <c r="D10" s="5">
        <v>9.14</v>
      </c>
      <c r="E10" s="6">
        <v>0.13730000000000001</v>
      </c>
      <c r="F10" s="6">
        <f t="shared" si="0"/>
        <v>0.75285251489161897</v>
      </c>
      <c r="H10" s="1">
        <f t="shared" si="3"/>
        <v>6</v>
      </c>
      <c r="I10" s="5">
        <v>3.81</v>
      </c>
      <c r="J10" s="5">
        <v>8.07</v>
      </c>
      <c r="K10" s="5">
        <v>8.16</v>
      </c>
      <c r="L10" s="6">
        <v>0.80489999999999995</v>
      </c>
      <c r="M10" s="6">
        <f t="shared" si="1"/>
        <v>0.60408133813538456</v>
      </c>
    </row>
    <row r="11" spans="1:23" ht="15">
      <c r="A11" s="1">
        <f t="shared" si="2"/>
        <v>7</v>
      </c>
      <c r="B11" s="5">
        <v>1.57</v>
      </c>
      <c r="C11" s="5">
        <v>8.4600000000000009</v>
      </c>
      <c r="D11" s="5">
        <v>9.6199999999999992</v>
      </c>
      <c r="E11" s="6">
        <v>0.1216</v>
      </c>
      <c r="F11" s="6">
        <f t="shared" si="0"/>
        <v>0.31171039817905766</v>
      </c>
      <c r="H11" s="1">
        <f t="shared" si="3"/>
        <v>7</v>
      </c>
      <c r="I11" s="5">
        <v>2.16</v>
      </c>
      <c r="J11" s="5">
        <v>8.1</v>
      </c>
      <c r="K11" s="5">
        <v>9.64</v>
      </c>
      <c r="L11" s="6">
        <v>0.62080000000000002</v>
      </c>
      <c r="M11" s="6">
        <f t="shared" si="1"/>
        <v>0.39094453798789069</v>
      </c>
    </row>
    <row r="12" spans="1:23" ht="15">
      <c r="A12" s="1">
        <f t="shared" si="2"/>
        <v>8</v>
      </c>
      <c r="B12" s="5">
        <v>2.16</v>
      </c>
      <c r="C12" s="5">
        <v>3.79</v>
      </c>
      <c r="D12" s="5">
        <v>6.43</v>
      </c>
      <c r="E12" s="6">
        <v>3.1600000000000003E-2</v>
      </c>
      <c r="F12" s="6">
        <f t="shared" si="0"/>
        <v>0.5763493041257336</v>
      </c>
      <c r="H12" s="1">
        <f t="shared" si="3"/>
        <v>8</v>
      </c>
      <c r="I12" s="5">
        <v>2.2400000000000002</v>
      </c>
      <c r="J12" s="5">
        <v>2.96</v>
      </c>
      <c r="K12" s="5">
        <v>5.48</v>
      </c>
      <c r="L12" s="6">
        <v>0.14449999999999999</v>
      </c>
      <c r="M12" s="6">
        <f t="shared" si="1"/>
        <v>0.67630290936809234</v>
      </c>
    </row>
    <row r="13" spans="1:23" ht="15">
      <c r="A13" s="1">
        <f t="shared" si="2"/>
        <v>9</v>
      </c>
      <c r="B13" s="5">
        <v>3.93</v>
      </c>
      <c r="C13" s="5">
        <v>4.29</v>
      </c>
      <c r="D13" s="5">
        <v>10.77</v>
      </c>
      <c r="E13" s="6">
        <v>0.14849999999999999</v>
      </c>
      <c r="F13" s="6">
        <f t="shared" si="0"/>
        <v>0.69401794778460624</v>
      </c>
      <c r="H13" s="1">
        <f t="shared" si="3"/>
        <v>9</v>
      </c>
      <c r="I13" s="5">
        <v>1.9</v>
      </c>
      <c r="J13" s="5">
        <v>4.01</v>
      </c>
      <c r="K13" s="5">
        <v>8.01</v>
      </c>
      <c r="L13" s="6">
        <v>0.26450000000000001</v>
      </c>
      <c r="M13" s="6">
        <f t="shared" si="1"/>
        <v>0.4825882805744553</v>
      </c>
    </row>
    <row r="14" spans="1:23" ht="15">
      <c r="A14" s="1">
        <f t="shared" si="2"/>
        <v>10</v>
      </c>
      <c r="B14" s="5">
        <v>4.53</v>
      </c>
      <c r="C14" s="5">
        <v>5.15</v>
      </c>
      <c r="D14" s="5">
        <v>8.2100000000000009</v>
      </c>
      <c r="E14" s="6">
        <v>0.1137</v>
      </c>
      <c r="F14" s="6">
        <f t="shared" si="0"/>
        <v>0.7858663129036767</v>
      </c>
      <c r="H14" s="1">
        <f t="shared" si="3"/>
        <v>10</v>
      </c>
      <c r="I14" s="5">
        <v>2.39</v>
      </c>
      <c r="J14" s="5">
        <v>2.96</v>
      </c>
      <c r="K14" s="5">
        <v>4.7</v>
      </c>
      <c r="L14" s="6">
        <v>0.14230000000000001</v>
      </c>
      <c r="M14" s="6">
        <f>(I14^2/(J14*K14))^(1/3)</f>
        <v>0.74325084387331075</v>
      </c>
      <c r="V14" s="23"/>
      <c r="W14" s="23"/>
    </row>
    <row r="15" spans="1:23" ht="15">
      <c r="A15" s="1">
        <f t="shared" si="2"/>
        <v>11</v>
      </c>
      <c r="B15" s="5">
        <v>2.2400000000000002</v>
      </c>
      <c r="C15" s="5">
        <v>4.4000000000000004</v>
      </c>
      <c r="D15" s="5">
        <v>8.9600000000000009</v>
      </c>
      <c r="E15" s="6">
        <v>8.2400000000000001E-2</v>
      </c>
      <c r="F15" s="6">
        <f t="shared" si="0"/>
        <v>0.50301212084817903</v>
      </c>
      <c r="H15" s="1">
        <f t="shared" si="3"/>
        <v>11</v>
      </c>
      <c r="I15" s="5">
        <v>2.09</v>
      </c>
      <c r="J15" s="5">
        <v>6.01</v>
      </c>
      <c r="K15" s="5">
        <v>8.8800000000000008</v>
      </c>
      <c r="L15" s="6">
        <v>0.4536</v>
      </c>
      <c r="M15" s="6">
        <f t="shared" si="1"/>
        <v>0.43417856422220369</v>
      </c>
    </row>
    <row r="16" spans="1:23" ht="15">
      <c r="A16" s="1">
        <f t="shared" si="2"/>
        <v>12</v>
      </c>
      <c r="B16" s="5">
        <v>3.28</v>
      </c>
      <c r="C16" s="5">
        <v>4.13</v>
      </c>
      <c r="D16" s="5">
        <v>5.14</v>
      </c>
      <c r="E16" s="6">
        <v>3.9699999999999999E-2</v>
      </c>
      <c r="F16" s="6">
        <f t="shared" si="0"/>
        <v>0.79728116713883834</v>
      </c>
      <c r="H16" s="1">
        <f t="shared" si="3"/>
        <v>12</v>
      </c>
      <c r="I16" s="5">
        <v>2.27</v>
      </c>
      <c r="J16" s="5">
        <v>5.0199999999999996</v>
      </c>
      <c r="K16" s="5">
        <v>6.66</v>
      </c>
      <c r="L16" s="6">
        <v>0.20880000000000001</v>
      </c>
      <c r="M16" s="6">
        <f t="shared" si="1"/>
        <v>0.53615610565353178</v>
      </c>
    </row>
    <row r="17" spans="1:13" ht="15">
      <c r="A17" s="1">
        <f t="shared" si="2"/>
        <v>13</v>
      </c>
      <c r="B17" s="5">
        <v>3.57</v>
      </c>
      <c r="C17" s="5">
        <v>3.69</v>
      </c>
      <c r="D17" s="5">
        <v>4.55</v>
      </c>
      <c r="E17" s="6">
        <v>2.9600000000000001E-2</v>
      </c>
      <c r="F17" s="6">
        <f t="shared" si="0"/>
        <v>0.91221993017051317</v>
      </c>
      <c r="H17" s="1">
        <f t="shared" si="3"/>
        <v>13</v>
      </c>
      <c r="I17" s="5">
        <v>1.81</v>
      </c>
      <c r="J17" s="5">
        <v>2.93</v>
      </c>
      <c r="K17" s="5">
        <v>7.48</v>
      </c>
      <c r="L17" s="6">
        <v>0.20380000000000001</v>
      </c>
      <c r="M17" s="6">
        <f>(I17^2/(J17*K17))^(1/3)</f>
        <v>0.53071656570258352</v>
      </c>
    </row>
    <row r="18" spans="1:13" ht="15">
      <c r="A18" s="1">
        <f t="shared" si="2"/>
        <v>14</v>
      </c>
      <c r="B18" s="5">
        <v>3.67</v>
      </c>
      <c r="C18" s="5">
        <v>4.01</v>
      </c>
      <c r="D18" s="5">
        <v>5.08</v>
      </c>
      <c r="E18" s="6">
        <v>0.40799999999999997</v>
      </c>
      <c r="F18" s="6">
        <f t="shared" si="0"/>
        <v>0.87118023656263099</v>
      </c>
      <c r="H18" s="1">
        <f t="shared" si="3"/>
        <v>14</v>
      </c>
      <c r="I18" s="5">
        <v>2.1800000000000002</v>
      </c>
      <c r="J18" s="5">
        <v>4.3899999999999997</v>
      </c>
      <c r="K18" s="5">
        <v>4.8099999999999996</v>
      </c>
      <c r="L18" s="6">
        <v>0.1242</v>
      </c>
      <c r="M18" s="6">
        <f t="shared" si="1"/>
        <v>0.60827662862289356</v>
      </c>
    </row>
    <row r="19" spans="1:13" ht="15">
      <c r="A19" s="1">
        <f t="shared" si="2"/>
        <v>15</v>
      </c>
      <c r="B19" s="5">
        <v>2.36</v>
      </c>
      <c r="C19" s="5">
        <v>3.9</v>
      </c>
      <c r="D19" s="5">
        <v>6.39</v>
      </c>
      <c r="E19" s="6">
        <v>3.3099999999999997E-2</v>
      </c>
      <c r="F19" s="6">
        <f t="shared" si="0"/>
        <v>0.60685674069244477</v>
      </c>
      <c r="H19" s="1">
        <f t="shared" si="3"/>
        <v>15</v>
      </c>
      <c r="I19" s="5">
        <v>2.29</v>
      </c>
      <c r="J19" s="5">
        <v>3.83</v>
      </c>
      <c r="K19" s="5">
        <v>4.93</v>
      </c>
      <c r="L19" s="6">
        <v>0.156</v>
      </c>
      <c r="M19" s="6">
        <f t="shared" si="1"/>
        <v>0.6524417698533499</v>
      </c>
    </row>
    <row r="20" spans="1:13" ht="15">
      <c r="A20" s="3" t="s">
        <v>9</v>
      </c>
      <c r="B20" s="8">
        <f>AVERAGE(B5:B19)</f>
        <v>3.6820000000000008</v>
      </c>
      <c r="C20" s="8">
        <f t="shared" ref="C20:D20" si="4">AVERAGE(C5:C19)</f>
        <v>5.5606666666666662</v>
      </c>
      <c r="D20" s="8">
        <f t="shared" si="4"/>
        <v>8.5120000000000005</v>
      </c>
      <c r="E20" s="7">
        <f>AVERAGE(E5:E19)</f>
        <v>0.15646666666666667</v>
      </c>
      <c r="F20" s="7">
        <f>AVERAGE(F5:F19)</f>
        <v>0.67616135002873579</v>
      </c>
      <c r="H20" s="3" t="s">
        <v>9</v>
      </c>
      <c r="I20" s="8">
        <f>AVERAGE(I5:I19)</f>
        <v>2.6199999999999997</v>
      </c>
      <c r="J20" s="8">
        <f t="shared" ref="J20:K20" si="5">AVERAGE(J5:J19)</f>
        <v>5.0186666666666664</v>
      </c>
      <c r="K20" s="8">
        <f t="shared" si="5"/>
        <v>7.2573333333333343</v>
      </c>
      <c r="L20" s="7">
        <f>AVERAGE(L5:L19)</f>
        <v>0.37573333333333336</v>
      </c>
      <c r="M20" s="7">
        <f>AVERAGE(M5:M19)</f>
        <v>0.57479977592795772</v>
      </c>
    </row>
    <row r="21" spans="1:13" ht="15">
      <c r="A21" s="10"/>
      <c r="B21" s="15"/>
      <c r="H21" s="10"/>
      <c r="I21" s="15"/>
    </row>
    <row r="22" spans="1:13" ht="15"/>
    <row r="23" spans="1:13" ht="15">
      <c r="A23" s="32" t="s">
        <v>10</v>
      </c>
      <c r="B23" s="33"/>
      <c r="C23" s="34"/>
      <c r="E23" s="32" t="s">
        <v>11</v>
      </c>
      <c r="F23" s="28"/>
      <c r="G23" s="28"/>
      <c r="H23" s="29"/>
      <c r="K23" s="10"/>
      <c r="L23" s="10"/>
    </row>
    <row r="24" spans="1:13" ht="15">
      <c r="A24" s="11" t="s">
        <v>12</v>
      </c>
      <c r="B24">
        <v>1</v>
      </c>
      <c r="C24" s="12">
        <v>2</v>
      </c>
      <c r="E24" s="11" t="s">
        <v>12</v>
      </c>
      <c r="F24">
        <v>1</v>
      </c>
      <c r="G24">
        <v>2</v>
      </c>
      <c r="H24" s="12">
        <v>3</v>
      </c>
    </row>
    <row r="25" spans="1:13" ht="15">
      <c r="A25" s="11" t="s">
        <v>13</v>
      </c>
      <c r="B25">
        <v>10.3589</v>
      </c>
      <c r="C25" s="12">
        <v>13.6119</v>
      </c>
      <c r="E25" s="11" t="s">
        <v>13</v>
      </c>
      <c r="F25">
        <v>5.1166</v>
      </c>
      <c r="G25">
        <v>5.7698</v>
      </c>
      <c r="H25" s="12">
        <v>5.6094999999999997</v>
      </c>
    </row>
    <row r="26" spans="1:13" ht="15">
      <c r="A26" s="11" t="s">
        <v>14</v>
      </c>
      <c r="B26">
        <v>9.1341000000000001</v>
      </c>
      <c r="C26" s="12">
        <v>11.9871</v>
      </c>
      <c r="E26" s="11" t="s">
        <v>14</v>
      </c>
      <c r="F26">
        <v>1.5282</v>
      </c>
      <c r="G26">
        <v>1.6932</v>
      </c>
      <c r="H26" s="12">
        <v>1.6449</v>
      </c>
    </row>
    <row r="27" spans="1:13" ht="15">
      <c r="A27" s="11" t="s">
        <v>15</v>
      </c>
      <c r="B27">
        <v>0.99819999999999998</v>
      </c>
      <c r="C27" s="12"/>
      <c r="E27" s="11" t="s">
        <v>15</v>
      </c>
      <c r="F27">
        <v>0.99819999999999998</v>
      </c>
      <c r="H27" s="12"/>
    </row>
    <row r="28" spans="1:13" ht="15">
      <c r="A28" s="11" t="s">
        <v>16</v>
      </c>
      <c r="B28">
        <f>(B25*$B$27)/(B25-B26)</f>
        <v>8.4424020084911806</v>
      </c>
      <c r="C28" s="12">
        <f>(C25*$B$27)/(C25-C26)</f>
        <v>8.3625052806499234</v>
      </c>
      <c r="E28" s="11" t="s">
        <v>16</v>
      </c>
      <c r="F28">
        <f>(F25*$F$27)/(F25-F26)</f>
        <v>1.4233056849849515</v>
      </c>
      <c r="G28">
        <f t="shared" ref="G28:H28" si="6">(G25*$F$27)/(G25-G26)</f>
        <v>1.4127984987489575</v>
      </c>
      <c r="H28">
        <f t="shared" si="6"/>
        <v>1.4123500227009029</v>
      </c>
    </row>
    <row r="29" spans="1:13" ht="15">
      <c r="A29" s="17" t="s">
        <v>17</v>
      </c>
      <c r="B29" s="18">
        <f>AVERAGE(B28:D28)</f>
        <v>8.4024536445705529</v>
      </c>
      <c r="C29" s="14"/>
      <c r="E29" s="17" t="s">
        <v>17</v>
      </c>
      <c r="F29" s="18">
        <f>AVERAGE(F28:H28)</f>
        <v>1.4161514021449371</v>
      </c>
      <c r="G29" s="13"/>
      <c r="H29" s="14"/>
    </row>
    <row r="30" spans="1:13" ht="15">
      <c r="A30" s="2"/>
    </row>
  </sheetData>
  <mergeCells count="6">
    <mergeCell ref="A23:C23"/>
    <mergeCell ref="E23:H23"/>
    <mergeCell ref="A1:M1"/>
    <mergeCell ref="V14:W14"/>
    <mergeCell ref="B3:E3"/>
    <mergeCell ref="I3:L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31FA-7B92-4441-B215-0590B104EE84}">
  <sheetPr>
    <pageSetUpPr fitToPage="1"/>
  </sheetPr>
  <dimension ref="A1:AZ191"/>
  <sheetViews>
    <sheetView tabSelected="1" topLeftCell="A121" workbookViewId="0">
      <selection activeCell="O147" sqref="O147"/>
    </sheetView>
  </sheetViews>
  <sheetFormatPr defaultColWidth="8.7109375" defaultRowHeight="15"/>
  <cols>
    <col min="1" max="1" width="11.5703125" bestFit="1" customWidth="1"/>
    <col min="3" max="3" width="10.5703125" bestFit="1" customWidth="1"/>
    <col min="8" max="8" width="11.5703125" bestFit="1" customWidth="1"/>
    <col min="10" max="10" width="10.5703125" bestFit="1" customWidth="1"/>
    <col min="17" max="17" width="10.5703125" bestFit="1" customWidth="1"/>
    <col min="18" max="18" width="8.140625" bestFit="1" customWidth="1"/>
  </cols>
  <sheetData>
    <row r="1" spans="1:19" ht="46.5">
      <c r="A1" s="30" t="s">
        <v>18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3" spans="1:19" ht="14.25" customHeight="1">
      <c r="B3" s="26" t="s">
        <v>19</v>
      </c>
      <c r="C3" s="26"/>
      <c r="D3" s="26"/>
      <c r="E3" s="26"/>
      <c r="I3" s="26" t="s">
        <v>20</v>
      </c>
      <c r="J3" s="26"/>
      <c r="K3" s="26"/>
      <c r="L3" s="26"/>
      <c r="O3" s="27" t="s">
        <v>21</v>
      </c>
      <c r="P3" s="28"/>
      <c r="Q3" s="28"/>
      <c r="R3" s="28"/>
      <c r="S3" s="29"/>
    </row>
    <row r="4" spans="1:19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8</v>
      </c>
      <c r="O4" s="22" t="s">
        <v>22</v>
      </c>
      <c r="P4" s="23"/>
      <c r="R4" s="23" t="s">
        <v>23</v>
      </c>
      <c r="S4" s="24"/>
    </row>
    <row r="5" spans="1:19">
      <c r="A5" s="1">
        <v>1</v>
      </c>
      <c r="B5" s="5">
        <v>3.55</v>
      </c>
      <c r="C5" s="5">
        <v>6.27</v>
      </c>
      <c r="D5" s="5">
        <v>8.2799999999999994</v>
      </c>
      <c r="E5">
        <v>0.12130000000000001</v>
      </c>
      <c r="F5" s="6">
        <f>(B5^2/(C5*D5))^(1/3)</f>
        <v>0.6238108767460544</v>
      </c>
      <c r="H5" s="1">
        <v>1</v>
      </c>
      <c r="I5" s="5">
        <v>2.09</v>
      </c>
      <c r="J5" s="5">
        <v>5.39</v>
      </c>
      <c r="K5" s="5">
        <v>8.9499999999999993</v>
      </c>
      <c r="L5" s="6">
        <v>5.1700000000000003E-2</v>
      </c>
      <c r="M5" s="6">
        <f>(I5^2/(J5*K5))^(1/3)</f>
        <v>0.44904885213107143</v>
      </c>
      <c r="O5" s="11" t="s">
        <v>13</v>
      </c>
      <c r="P5">
        <v>5.8662000000000001</v>
      </c>
      <c r="R5" t="s">
        <v>13</v>
      </c>
      <c r="S5" s="12">
        <v>2.4485000000000001</v>
      </c>
    </row>
    <row r="6" spans="1:19">
      <c r="A6" s="1">
        <f>A5 + 1</f>
        <v>2</v>
      </c>
      <c r="B6" s="5">
        <v>5.78</v>
      </c>
      <c r="C6" s="5">
        <v>5.77</v>
      </c>
      <c r="D6" s="5">
        <v>6.4</v>
      </c>
      <c r="E6">
        <v>0.11310000000000001</v>
      </c>
      <c r="F6" s="6">
        <f t="shared" ref="F6:F19" si="0">(B6^2/(C6*D6))^(1/3)</f>
        <v>0.96716364477257777</v>
      </c>
      <c r="H6" s="1">
        <f>H5 + 1</f>
        <v>2</v>
      </c>
      <c r="I6" s="5">
        <v>1.94</v>
      </c>
      <c r="J6" s="5">
        <v>4.1500000000000004</v>
      </c>
      <c r="K6" s="5">
        <v>9.0399999999999991</v>
      </c>
      <c r="L6" s="6">
        <v>3.7999999999999999E-2</v>
      </c>
      <c r="M6" s="6">
        <f t="shared" ref="M6:M19" si="1">(I6^2/(J6*K6))^(1/3)</f>
        <v>0.46465324829279236</v>
      </c>
      <c r="O6" s="11" t="s">
        <v>14</v>
      </c>
      <c r="P6">
        <v>1.972</v>
      </c>
      <c r="R6" t="s">
        <v>14</v>
      </c>
      <c r="S6" s="12">
        <v>0.40799999999999997</v>
      </c>
    </row>
    <row r="7" spans="1:19">
      <c r="A7" s="1">
        <f t="shared" ref="A7:A19" si="2">A6 + 1</f>
        <v>3</v>
      </c>
      <c r="B7" s="5">
        <v>5.3</v>
      </c>
      <c r="C7" s="5">
        <v>6.23</v>
      </c>
      <c r="D7" s="5">
        <v>10.51</v>
      </c>
      <c r="E7">
        <v>0.30640000000000001</v>
      </c>
      <c r="F7" s="6">
        <f t="shared" si="0"/>
        <v>0.75420080596408579</v>
      </c>
      <c r="H7" s="1">
        <f t="shared" ref="H7:H19" si="3">H6 + 1</f>
        <v>3</v>
      </c>
      <c r="I7" s="5">
        <v>2.04</v>
      </c>
      <c r="J7" s="5">
        <v>5.43</v>
      </c>
      <c r="K7" s="5">
        <v>9.5</v>
      </c>
      <c r="L7" s="6">
        <v>5.2699999999999997E-2</v>
      </c>
      <c r="M7" s="6">
        <f t="shared" si="1"/>
        <v>0.43209472715802483</v>
      </c>
      <c r="O7" s="11" t="s">
        <v>24</v>
      </c>
      <c r="P7">
        <v>0.99819999999999998</v>
      </c>
      <c r="R7" t="s">
        <v>24</v>
      </c>
      <c r="S7" s="12">
        <v>0.99819999999999998</v>
      </c>
    </row>
    <row r="8" spans="1:19">
      <c r="A8" s="1">
        <f t="shared" si="2"/>
        <v>4</v>
      </c>
      <c r="B8" s="5">
        <v>5.2</v>
      </c>
      <c r="C8" s="5">
        <v>5.72</v>
      </c>
      <c r="D8" s="5">
        <v>8.27</v>
      </c>
      <c r="E8">
        <v>0.1547</v>
      </c>
      <c r="F8" s="6">
        <f t="shared" si="0"/>
        <v>0.82991774314202382</v>
      </c>
      <c r="H8" s="1">
        <f t="shared" si="3"/>
        <v>4</v>
      </c>
      <c r="I8" s="5">
        <v>3.31</v>
      </c>
      <c r="J8" s="5">
        <v>5.16</v>
      </c>
      <c r="K8" s="5">
        <v>9.15</v>
      </c>
      <c r="L8" s="6">
        <v>7.46E-2</v>
      </c>
      <c r="M8" s="6">
        <f t="shared" si="1"/>
        <v>0.61450921140871451</v>
      </c>
      <c r="O8" s="19" t="s">
        <v>16</v>
      </c>
      <c r="P8" s="18">
        <f>(P5*P7)/(P5-P6)</f>
        <v>1.5036826151712801</v>
      </c>
      <c r="Q8" s="20"/>
      <c r="R8" s="20" t="s">
        <v>16</v>
      </c>
      <c r="S8" s="21">
        <f>(S5*S7)/(S5-S6)</f>
        <v>1.1977910806174956</v>
      </c>
    </row>
    <row r="9" spans="1:19">
      <c r="A9" s="1">
        <f t="shared" si="2"/>
        <v>5</v>
      </c>
      <c r="B9" s="5">
        <v>5.27</v>
      </c>
      <c r="C9" s="5">
        <v>5.97</v>
      </c>
      <c r="D9" s="5">
        <v>8.26</v>
      </c>
      <c r="E9">
        <v>0.1658</v>
      </c>
      <c r="F9" s="6">
        <f t="shared" si="0"/>
        <v>0.8258267582141996</v>
      </c>
      <c r="H9" s="1">
        <f t="shared" si="3"/>
        <v>5</v>
      </c>
      <c r="I9" s="5">
        <v>2.1800000000000002</v>
      </c>
      <c r="J9" s="5">
        <v>5</v>
      </c>
      <c r="K9" s="5">
        <v>6.06</v>
      </c>
      <c r="L9" s="6">
        <v>3.0499999999999999E-2</v>
      </c>
      <c r="M9" s="6">
        <f t="shared" si="1"/>
        <v>0.53929134808013779</v>
      </c>
    </row>
    <row r="10" spans="1:19">
      <c r="A10" s="1">
        <f t="shared" si="2"/>
        <v>6</v>
      </c>
      <c r="B10" s="5">
        <v>4.16</v>
      </c>
      <c r="C10" s="5">
        <v>4.96</v>
      </c>
      <c r="D10" s="5">
        <v>7.34</v>
      </c>
      <c r="E10">
        <v>8.1000000000000003E-2</v>
      </c>
      <c r="F10" s="6">
        <f t="shared" si="0"/>
        <v>0.78043422802352547</v>
      </c>
      <c r="H10" s="1">
        <f t="shared" si="3"/>
        <v>6</v>
      </c>
      <c r="I10" s="5">
        <v>2.25</v>
      </c>
      <c r="J10" s="5">
        <v>7.38</v>
      </c>
      <c r="K10" s="5">
        <v>13.8</v>
      </c>
      <c r="L10" s="6">
        <v>0.13009999999999999</v>
      </c>
      <c r="M10" s="6">
        <f t="shared" si="1"/>
        <v>0.3676855219359807</v>
      </c>
    </row>
    <row r="11" spans="1:19">
      <c r="A11" s="1">
        <f t="shared" si="2"/>
        <v>7</v>
      </c>
      <c r="B11" s="5">
        <v>5.49</v>
      </c>
      <c r="C11" s="5">
        <v>6.03</v>
      </c>
      <c r="D11" s="5">
        <v>7.74</v>
      </c>
      <c r="E11">
        <v>0.152</v>
      </c>
      <c r="F11" s="6">
        <f t="shared" si="0"/>
        <v>0.86436161450519189</v>
      </c>
      <c r="H11" s="1">
        <f t="shared" si="3"/>
        <v>7</v>
      </c>
      <c r="I11" s="5">
        <v>2.2799999999999998</v>
      </c>
      <c r="J11" s="5">
        <v>6.64</v>
      </c>
      <c r="K11" s="5">
        <v>9.89</v>
      </c>
      <c r="L11" s="6">
        <v>8.7300000000000003E-2</v>
      </c>
      <c r="M11" s="6">
        <f t="shared" si="1"/>
        <v>0.42937337193135156</v>
      </c>
    </row>
    <row r="12" spans="1:19">
      <c r="A12" s="1">
        <f t="shared" si="2"/>
        <v>8</v>
      </c>
      <c r="B12" s="5">
        <v>4.53</v>
      </c>
      <c r="C12" s="5">
        <v>5.0599999999999996</v>
      </c>
      <c r="D12" s="5">
        <v>9.67</v>
      </c>
      <c r="E12">
        <v>0.1288</v>
      </c>
      <c r="F12" s="6">
        <f t="shared" si="0"/>
        <v>0.74852527766918897</v>
      </c>
      <c r="H12" s="1">
        <f t="shared" si="3"/>
        <v>8</v>
      </c>
      <c r="I12" s="5">
        <v>2.2200000000000002</v>
      </c>
      <c r="J12" s="5">
        <v>7.07</v>
      </c>
      <c r="K12" s="5">
        <v>9.7899999999999991</v>
      </c>
      <c r="L12" s="6">
        <v>0.98899999999999999</v>
      </c>
      <c r="M12" s="6">
        <f t="shared" si="1"/>
        <v>0.41447780668047418</v>
      </c>
    </row>
    <row r="13" spans="1:19">
      <c r="A13" s="1">
        <f t="shared" si="2"/>
        <v>9</v>
      </c>
      <c r="B13" s="5">
        <v>4.63</v>
      </c>
      <c r="C13" s="5">
        <v>6.62</v>
      </c>
      <c r="D13" s="5">
        <v>8.39</v>
      </c>
      <c r="E13">
        <v>0.16550000000000001</v>
      </c>
      <c r="F13" s="6">
        <f t="shared" si="0"/>
        <v>0.72808264194193784</v>
      </c>
      <c r="H13" s="1">
        <f t="shared" si="3"/>
        <v>9</v>
      </c>
      <c r="I13" s="5">
        <v>3.09</v>
      </c>
      <c r="J13" s="5">
        <v>8.19</v>
      </c>
      <c r="K13" s="5">
        <v>13.6</v>
      </c>
      <c r="L13" s="6">
        <v>0.1885</v>
      </c>
      <c r="M13" s="6">
        <f t="shared" si="1"/>
        <v>0.44092499254681705</v>
      </c>
    </row>
    <row r="14" spans="1:19">
      <c r="A14" s="1">
        <f t="shared" si="2"/>
        <v>10</v>
      </c>
      <c r="B14" s="5">
        <v>3.34</v>
      </c>
      <c r="C14" s="5">
        <v>5.35</v>
      </c>
      <c r="D14" s="5">
        <v>7.14</v>
      </c>
      <c r="E14">
        <v>6.8900000000000003E-2</v>
      </c>
      <c r="F14" s="6">
        <f t="shared" si="0"/>
        <v>0.66345832296984442</v>
      </c>
      <c r="H14" s="1">
        <f t="shared" si="3"/>
        <v>10</v>
      </c>
      <c r="I14" s="5">
        <v>2.09</v>
      </c>
      <c r="J14" s="5">
        <v>8.41</v>
      </c>
      <c r="K14" s="5">
        <v>9.9499999999999993</v>
      </c>
      <c r="L14" s="6">
        <v>0.1094</v>
      </c>
      <c r="M14" s="6">
        <f t="shared" si="1"/>
        <v>0.37372988900747206</v>
      </c>
    </row>
    <row r="15" spans="1:19">
      <c r="A15" s="1">
        <f t="shared" si="2"/>
        <v>11</v>
      </c>
      <c r="B15" s="5">
        <v>5.47</v>
      </c>
      <c r="C15" s="5">
        <v>4.3499999999999996</v>
      </c>
      <c r="D15" s="5">
        <v>7.29</v>
      </c>
      <c r="E15">
        <v>5.5500000000000001E-2</v>
      </c>
      <c r="F15" s="6">
        <f t="shared" si="0"/>
        <v>0.98081241803553398</v>
      </c>
      <c r="H15" s="1">
        <f t="shared" si="3"/>
        <v>11</v>
      </c>
      <c r="I15" s="5">
        <v>2.2000000000000002</v>
      </c>
      <c r="J15" s="5">
        <v>4.8600000000000003</v>
      </c>
      <c r="K15" s="5">
        <v>6.73</v>
      </c>
      <c r="L15" s="6">
        <v>3.4200000000000001E-2</v>
      </c>
      <c r="M15" s="6">
        <f t="shared" si="1"/>
        <v>0.5289297676628899</v>
      </c>
    </row>
    <row r="16" spans="1:19">
      <c r="A16" s="1">
        <f t="shared" si="2"/>
        <v>12</v>
      </c>
      <c r="B16" s="5">
        <v>3.79</v>
      </c>
      <c r="C16" s="5">
        <v>5.72</v>
      </c>
      <c r="D16" s="5">
        <v>7.89</v>
      </c>
      <c r="E16">
        <v>0.10730000000000001</v>
      </c>
      <c r="F16" s="6">
        <f t="shared" si="0"/>
        <v>0.68276061771537178</v>
      </c>
      <c r="H16" s="1">
        <f t="shared" si="3"/>
        <v>12</v>
      </c>
      <c r="I16" s="5">
        <v>2.11</v>
      </c>
      <c r="J16" s="5">
        <v>6.2</v>
      </c>
      <c r="K16" s="5">
        <v>10.11</v>
      </c>
      <c r="L16" s="6">
        <v>5.8799999999999998E-2</v>
      </c>
      <c r="M16" s="6">
        <f t="shared" si="1"/>
        <v>0.4141338106001648</v>
      </c>
    </row>
    <row r="17" spans="1:52">
      <c r="A17" s="1">
        <f t="shared" si="2"/>
        <v>13</v>
      </c>
      <c r="B17" s="5">
        <v>3.27</v>
      </c>
      <c r="C17" s="5">
        <v>4.09</v>
      </c>
      <c r="D17" s="5">
        <v>6.79</v>
      </c>
      <c r="E17">
        <v>5.45E-2</v>
      </c>
      <c r="F17" s="6">
        <f t="shared" si="0"/>
        <v>0.72750191526812191</v>
      </c>
      <c r="H17" s="1">
        <f t="shared" si="3"/>
        <v>13</v>
      </c>
      <c r="I17" s="5">
        <v>3.14</v>
      </c>
      <c r="J17" s="5">
        <v>5.54</v>
      </c>
      <c r="K17" s="5">
        <v>10.81</v>
      </c>
      <c r="L17" s="6">
        <v>7.3400000000000007E-2</v>
      </c>
      <c r="M17" s="6">
        <f t="shared" si="1"/>
        <v>0.54807662370834287</v>
      </c>
    </row>
    <row r="18" spans="1:52">
      <c r="A18" s="1">
        <f t="shared" si="2"/>
        <v>14</v>
      </c>
      <c r="B18" s="5">
        <v>3.34</v>
      </c>
      <c r="C18" s="5">
        <v>5.62</v>
      </c>
      <c r="D18" s="5">
        <v>7.3</v>
      </c>
      <c r="E18">
        <v>8.2299999999999998E-2</v>
      </c>
      <c r="F18" s="6">
        <f t="shared" si="0"/>
        <v>0.64785515574885577</v>
      </c>
      <c r="H18" s="1">
        <f t="shared" si="3"/>
        <v>14</v>
      </c>
      <c r="I18" s="5">
        <v>2.2599999999999998</v>
      </c>
      <c r="J18" s="5">
        <v>4.63</v>
      </c>
      <c r="K18" s="5">
        <v>10.99</v>
      </c>
      <c r="L18" s="6">
        <v>5.5399999999999998E-2</v>
      </c>
      <c r="M18" s="6">
        <f t="shared" si="1"/>
        <v>0.46474286570794521</v>
      </c>
    </row>
    <row r="19" spans="1:52">
      <c r="A19" s="1">
        <f t="shared" si="2"/>
        <v>15</v>
      </c>
      <c r="B19" s="5">
        <v>4.5</v>
      </c>
      <c r="C19" s="5">
        <v>5.05</v>
      </c>
      <c r="D19" s="5">
        <v>7.59</v>
      </c>
      <c r="E19">
        <v>9.3899999999999997E-2</v>
      </c>
      <c r="F19" s="6">
        <f t="shared" si="0"/>
        <v>0.8084080407139933</v>
      </c>
      <c r="H19" s="1">
        <f t="shared" si="3"/>
        <v>15</v>
      </c>
      <c r="I19" s="5">
        <v>2.08</v>
      </c>
      <c r="J19" s="5">
        <v>7.87</v>
      </c>
      <c r="K19" s="5">
        <v>10.5</v>
      </c>
      <c r="L19" s="6">
        <v>0.1426</v>
      </c>
      <c r="M19" s="6">
        <f>(I19^2/(J19*K19))^(1/3)</f>
        <v>0.37409986042553239</v>
      </c>
    </row>
    <row r="20" spans="1:52">
      <c r="A20" s="3" t="s">
        <v>9</v>
      </c>
      <c r="B20" s="8">
        <f>AVERAGE(B5:B19)</f>
        <v>4.508</v>
      </c>
      <c r="C20" s="8">
        <f t="shared" ref="C20:D20" si="4">AVERAGE(C5:C19)</f>
        <v>5.5206666666666671</v>
      </c>
      <c r="D20" s="8">
        <f t="shared" si="4"/>
        <v>7.9240000000000004</v>
      </c>
      <c r="E20" s="7">
        <f>AVERAGE(E5:E19)</f>
        <v>0.1234</v>
      </c>
      <c r="F20" s="7">
        <f>AVERAGE(F5:F19)</f>
        <v>0.77554133742870046</v>
      </c>
      <c r="H20" s="3" t="s">
        <v>9</v>
      </c>
      <c r="I20" s="8">
        <f>AVERAGE(I5:I19)</f>
        <v>2.3519999999999994</v>
      </c>
      <c r="J20" s="8">
        <f t="shared" ref="J20:K20" si="5">AVERAGE(J5:J19)</f>
        <v>6.1280000000000001</v>
      </c>
      <c r="K20" s="8">
        <f t="shared" si="5"/>
        <v>9.924666666666667</v>
      </c>
      <c r="L20" s="7">
        <f>AVERAGE(L5:L19)</f>
        <v>0.14107999999999998</v>
      </c>
      <c r="M20" s="7">
        <f>AVERAGE(M5:M19)</f>
        <v>0.45705145981851408</v>
      </c>
    </row>
    <row r="21" spans="1:52">
      <c r="A21" s="4" t="s">
        <v>25</v>
      </c>
      <c r="B21" s="9">
        <f>AVERAGE(B20:D20)</f>
        <v>5.9842222222222219</v>
      </c>
      <c r="H21" s="4" t="s">
        <v>25</v>
      </c>
      <c r="I21" s="9">
        <f>AVERAGE(I20:K20)</f>
        <v>6.1348888888888888</v>
      </c>
    </row>
    <row r="23" spans="1:52" ht="14.25" customHeight="1"/>
    <row r="24" spans="1:52">
      <c r="E24" s="31" t="s">
        <v>26</v>
      </c>
      <c r="F24" s="31"/>
      <c r="G24" s="31"/>
      <c r="H24" s="31"/>
      <c r="I24" s="31"/>
    </row>
    <row r="25" spans="1:52">
      <c r="A25" s="31" t="s">
        <v>27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52">
      <c r="B26" s="26" t="s">
        <v>28</v>
      </c>
      <c r="C26" s="26"/>
      <c r="D26" s="26"/>
      <c r="E26" s="26"/>
      <c r="I26" s="26" t="s">
        <v>29</v>
      </c>
      <c r="J26" s="26"/>
      <c r="K26" s="26"/>
      <c r="L26" s="26"/>
    </row>
    <row r="27" spans="1:52">
      <c r="A27" s="3" t="s">
        <v>3</v>
      </c>
      <c r="B27" s="3" t="s">
        <v>4</v>
      </c>
      <c r="C27" s="3" t="s">
        <v>5</v>
      </c>
      <c r="D27" s="3" t="s">
        <v>6</v>
      </c>
      <c r="E27" s="3" t="s">
        <v>7</v>
      </c>
      <c r="F27" s="3" t="s">
        <v>8</v>
      </c>
      <c r="H27" s="3" t="s">
        <v>3</v>
      </c>
      <c r="I27" s="3" t="s">
        <v>4</v>
      </c>
      <c r="J27" s="3" t="s">
        <v>5</v>
      </c>
      <c r="K27" s="3" t="s">
        <v>6</v>
      </c>
      <c r="L27" s="3" t="s">
        <v>7</v>
      </c>
      <c r="M27" s="3" t="s">
        <v>8</v>
      </c>
    </row>
    <row r="28" spans="1:52">
      <c r="A28" s="1">
        <v>1</v>
      </c>
      <c r="B28" s="5"/>
      <c r="C28" s="5"/>
      <c r="D28" s="5"/>
      <c r="F28" s="6" t="e">
        <f>(B28^2/(C28*D28))^(1/3)</f>
        <v>#DIV/0!</v>
      </c>
      <c r="H28" s="1">
        <v>1</v>
      </c>
      <c r="I28" s="5">
        <v>2.97</v>
      </c>
      <c r="J28" s="5">
        <v>8.36</v>
      </c>
      <c r="K28" s="5">
        <v>10.43</v>
      </c>
      <c r="L28" s="6">
        <v>0.16339999999999999</v>
      </c>
      <c r="M28" s="6">
        <f>(I28^2/(J28*K28))^(1/3)</f>
        <v>0.46595156089960027</v>
      </c>
      <c r="AV28" s="5"/>
      <c r="AW28" s="5"/>
      <c r="AX28" s="5"/>
      <c r="AY28" s="6"/>
    </row>
    <row r="29" spans="1:52">
      <c r="A29" s="1">
        <f>A28 + 1</f>
        <v>2</v>
      </c>
      <c r="B29" s="5"/>
      <c r="C29" s="5"/>
      <c r="D29" s="5"/>
      <c r="F29" s="6" t="e">
        <f t="shared" ref="F29:F42" si="6">(B29^2/(C29*D29))^(1/3)</f>
        <v>#DIV/0!</v>
      </c>
      <c r="H29" s="1">
        <f>H28 + 1</f>
        <v>2</v>
      </c>
      <c r="I29" s="5"/>
      <c r="J29" s="5"/>
      <c r="K29" s="5"/>
      <c r="L29" s="6"/>
      <c r="M29" s="6" t="e">
        <f t="shared" ref="M29:M42" si="7">(I29^2/(J29*K29))^(1/3)</f>
        <v>#DIV/0!</v>
      </c>
      <c r="AV29" s="5"/>
      <c r="AW29" s="5"/>
      <c r="AX29" s="5"/>
      <c r="AY29" s="6"/>
    </row>
    <row r="30" spans="1:52">
      <c r="A30" s="1">
        <f t="shared" ref="A30:A42" si="8">A29 + 1</f>
        <v>3</v>
      </c>
      <c r="B30" s="5"/>
      <c r="C30" s="5"/>
      <c r="D30" s="5"/>
      <c r="F30" s="6" t="e">
        <f t="shared" si="6"/>
        <v>#DIV/0!</v>
      </c>
      <c r="H30" s="1">
        <f t="shared" ref="H30:H42" si="9">H29 + 1</f>
        <v>3</v>
      </c>
      <c r="I30" s="5"/>
      <c r="J30" s="5"/>
      <c r="K30" s="5"/>
      <c r="L30" s="6"/>
      <c r="M30" s="6" t="e">
        <f t="shared" si="7"/>
        <v>#DIV/0!</v>
      </c>
      <c r="AV30" s="5"/>
      <c r="AW30" s="5"/>
      <c r="AX30" s="5"/>
      <c r="AY30" s="6"/>
    </row>
    <row r="31" spans="1:52">
      <c r="A31" s="1">
        <f t="shared" si="8"/>
        <v>4</v>
      </c>
      <c r="B31" s="5"/>
      <c r="C31" s="5"/>
      <c r="D31" s="5"/>
      <c r="F31" s="6" t="e">
        <f t="shared" si="6"/>
        <v>#DIV/0!</v>
      </c>
      <c r="H31" s="1">
        <f t="shared" si="9"/>
        <v>4</v>
      </c>
      <c r="I31" s="5"/>
      <c r="J31" s="5"/>
      <c r="K31" s="5"/>
      <c r="L31" s="6"/>
      <c r="M31" s="6" t="e">
        <f t="shared" si="7"/>
        <v>#DIV/0!</v>
      </c>
      <c r="AV31" s="5"/>
      <c r="AW31" s="5"/>
      <c r="AX31" s="5"/>
      <c r="AY31" s="5"/>
      <c r="AZ31" s="6"/>
    </row>
    <row r="32" spans="1:52">
      <c r="A32" s="1">
        <f t="shared" si="8"/>
        <v>5</v>
      </c>
      <c r="B32" s="5"/>
      <c r="C32" s="5"/>
      <c r="D32" s="5"/>
      <c r="F32" s="6" t="e">
        <f t="shared" si="6"/>
        <v>#DIV/0!</v>
      </c>
      <c r="H32" s="1">
        <f t="shared" si="9"/>
        <v>5</v>
      </c>
      <c r="I32" s="5"/>
      <c r="J32" s="5"/>
      <c r="K32" s="5"/>
      <c r="L32" s="6"/>
      <c r="M32" s="6" t="e">
        <f t="shared" si="7"/>
        <v>#DIV/0!</v>
      </c>
      <c r="AV32" s="5"/>
      <c r="AW32" s="5"/>
      <c r="AX32" s="5"/>
      <c r="AY32" s="5"/>
      <c r="AZ32" s="6"/>
    </row>
    <row r="33" spans="1:52">
      <c r="A33" s="1">
        <f t="shared" si="8"/>
        <v>6</v>
      </c>
      <c r="B33" s="5"/>
      <c r="C33" s="5"/>
      <c r="D33" s="5"/>
      <c r="F33" s="6" t="e">
        <f t="shared" si="6"/>
        <v>#DIV/0!</v>
      </c>
      <c r="H33" s="1">
        <f t="shared" si="9"/>
        <v>6</v>
      </c>
      <c r="I33" s="5"/>
      <c r="J33" s="5"/>
      <c r="K33" s="5"/>
      <c r="L33" s="6"/>
      <c r="M33" s="6" t="e">
        <f t="shared" si="7"/>
        <v>#DIV/0!</v>
      </c>
      <c r="AV33" s="5"/>
      <c r="AW33" s="5"/>
      <c r="AX33" s="5"/>
      <c r="AY33" s="5"/>
      <c r="AZ33" s="6"/>
    </row>
    <row r="34" spans="1:52">
      <c r="A34" s="1">
        <f t="shared" si="8"/>
        <v>7</v>
      </c>
      <c r="B34" s="5"/>
      <c r="C34" s="5"/>
      <c r="D34" s="5"/>
      <c r="F34" s="6" t="e">
        <f t="shared" si="6"/>
        <v>#DIV/0!</v>
      </c>
      <c r="H34" s="1">
        <f t="shared" si="9"/>
        <v>7</v>
      </c>
      <c r="I34" s="5"/>
      <c r="J34" s="5"/>
      <c r="K34" s="5"/>
      <c r="L34" s="6"/>
      <c r="M34" s="6" t="e">
        <f t="shared" si="7"/>
        <v>#DIV/0!</v>
      </c>
      <c r="AV34" s="5"/>
      <c r="AW34" s="5"/>
      <c r="AX34" s="5"/>
      <c r="AY34" s="5"/>
      <c r="AZ34" s="6"/>
    </row>
    <row r="35" spans="1:52">
      <c r="A35" s="1">
        <f t="shared" si="8"/>
        <v>8</v>
      </c>
      <c r="B35" s="5"/>
      <c r="C35" s="5"/>
      <c r="D35" s="5"/>
      <c r="F35" s="6" t="e">
        <f t="shared" si="6"/>
        <v>#DIV/0!</v>
      </c>
      <c r="H35" s="1">
        <f t="shared" si="9"/>
        <v>8</v>
      </c>
      <c r="I35" s="5"/>
      <c r="J35" s="5"/>
      <c r="K35" s="5"/>
      <c r="L35" s="6"/>
      <c r="M35" s="6" t="e">
        <f t="shared" si="7"/>
        <v>#DIV/0!</v>
      </c>
      <c r="AV35" s="5"/>
      <c r="AW35" s="5"/>
      <c r="AX35" s="5"/>
      <c r="AY35" s="5"/>
      <c r="AZ35" s="6"/>
    </row>
    <row r="36" spans="1:52">
      <c r="A36" s="1">
        <f t="shared" si="8"/>
        <v>9</v>
      </c>
      <c r="B36" s="5"/>
      <c r="C36" s="5"/>
      <c r="D36" s="5"/>
      <c r="F36" s="6" t="e">
        <f t="shared" si="6"/>
        <v>#DIV/0!</v>
      </c>
      <c r="H36" s="1">
        <f t="shared" si="9"/>
        <v>9</v>
      </c>
      <c r="I36" s="5"/>
      <c r="J36" s="5"/>
      <c r="K36" s="5"/>
      <c r="L36" s="6"/>
      <c r="M36" s="6" t="e">
        <f t="shared" si="7"/>
        <v>#DIV/0!</v>
      </c>
      <c r="AV36" s="5"/>
      <c r="AW36" s="5"/>
      <c r="AX36" s="5"/>
      <c r="AY36" s="5"/>
      <c r="AZ36" s="6"/>
    </row>
    <row r="37" spans="1:52">
      <c r="A37" s="1">
        <f t="shared" si="8"/>
        <v>10</v>
      </c>
      <c r="B37" s="5"/>
      <c r="C37" s="5"/>
      <c r="D37" s="5"/>
      <c r="F37" s="6" t="e">
        <f t="shared" si="6"/>
        <v>#DIV/0!</v>
      </c>
      <c r="H37" s="1">
        <f t="shared" si="9"/>
        <v>10</v>
      </c>
      <c r="I37" s="5"/>
      <c r="J37" s="5"/>
      <c r="K37" s="5"/>
      <c r="L37" s="6"/>
      <c r="M37" s="6" t="e">
        <f t="shared" si="7"/>
        <v>#DIV/0!</v>
      </c>
      <c r="AV37" s="5"/>
      <c r="AW37" s="5"/>
      <c r="AX37" s="5"/>
      <c r="AY37" s="5"/>
      <c r="AZ37" s="6"/>
    </row>
    <row r="38" spans="1:52">
      <c r="A38" s="1">
        <f t="shared" si="8"/>
        <v>11</v>
      </c>
      <c r="B38" s="5"/>
      <c r="C38" s="5"/>
      <c r="D38" s="5"/>
      <c r="F38" s="6" t="e">
        <f t="shared" si="6"/>
        <v>#DIV/0!</v>
      </c>
      <c r="H38" s="1">
        <f t="shared" si="9"/>
        <v>11</v>
      </c>
      <c r="I38" s="5"/>
      <c r="J38" s="5"/>
      <c r="K38" s="5"/>
      <c r="L38" s="6"/>
      <c r="M38" s="6" t="e">
        <f t="shared" si="7"/>
        <v>#DIV/0!</v>
      </c>
      <c r="AV38" s="5"/>
      <c r="AW38" s="5"/>
      <c r="AX38" s="5"/>
      <c r="AY38" s="5"/>
      <c r="AZ38" s="6"/>
    </row>
    <row r="39" spans="1:52">
      <c r="A39" s="1">
        <f t="shared" si="8"/>
        <v>12</v>
      </c>
      <c r="B39" s="5"/>
      <c r="C39" s="5"/>
      <c r="D39" s="5"/>
      <c r="F39" s="6" t="e">
        <f t="shared" si="6"/>
        <v>#DIV/0!</v>
      </c>
      <c r="H39" s="1">
        <f t="shared" si="9"/>
        <v>12</v>
      </c>
      <c r="I39" s="5"/>
      <c r="J39" s="5"/>
      <c r="K39" s="5"/>
      <c r="L39" s="6"/>
      <c r="M39" s="6" t="e">
        <f t="shared" si="7"/>
        <v>#DIV/0!</v>
      </c>
      <c r="AV39" s="5"/>
      <c r="AW39" s="5"/>
      <c r="AX39" s="5"/>
      <c r="AY39" s="5"/>
      <c r="AZ39" s="6"/>
    </row>
    <row r="40" spans="1:52">
      <c r="A40" s="1">
        <f t="shared" si="8"/>
        <v>13</v>
      </c>
      <c r="B40" s="5"/>
      <c r="C40" s="5"/>
      <c r="D40" s="5"/>
      <c r="F40" s="6" t="e">
        <f t="shared" si="6"/>
        <v>#DIV/0!</v>
      </c>
      <c r="H40" s="1">
        <f t="shared" si="9"/>
        <v>13</v>
      </c>
      <c r="I40" s="5"/>
      <c r="J40" s="5"/>
      <c r="K40" s="5"/>
      <c r="L40" s="6"/>
      <c r="M40" s="6" t="e">
        <f t="shared" si="7"/>
        <v>#DIV/0!</v>
      </c>
      <c r="AV40" s="5"/>
      <c r="AW40" s="5"/>
      <c r="AX40" s="5"/>
      <c r="AY40" s="5"/>
      <c r="AZ40" s="6"/>
    </row>
    <row r="41" spans="1:52">
      <c r="A41" s="1">
        <f t="shared" si="8"/>
        <v>14</v>
      </c>
      <c r="B41" s="5"/>
      <c r="C41" s="5"/>
      <c r="D41" s="5"/>
      <c r="F41" s="6" t="e">
        <f t="shared" si="6"/>
        <v>#DIV/0!</v>
      </c>
      <c r="H41" s="1">
        <f t="shared" si="9"/>
        <v>14</v>
      </c>
      <c r="I41" s="5"/>
      <c r="J41" s="5"/>
      <c r="K41" s="5"/>
      <c r="L41" s="6"/>
      <c r="M41" s="6" t="e">
        <f t="shared" si="7"/>
        <v>#DIV/0!</v>
      </c>
    </row>
    <row r="42" spans="1:52">
      <c r="A42" s="1">
        <f t="shared" si="8"/>
        <v>15</v>
      </c>
      <c r="B42" s="5"/>
      <c r="C42" s="5"/>
      <c r="D42" s="5"/>
      <c r="F42" s="6" t="e">
        <f t="shared" si="6"/>
        <v>#DIV/0!</v>
      </c>
      <c r="H42" s="1">
        <f t="shared" si="9"/>
        <v>15</v>
      </c>
      <c r="I42" s="5"/>
      <c r="J42" s="5"/>
      <c r="K42" s="5"/>
      <c r="L42" s="6"/>
      <c r="M42" s="6" t="e">
        <f>(I42^2/(J42*K42))^(1/3)</f>
        <v>#DIV/0!</v>
      </c>
    </row>
    <row r="43" spans="1:52">
      <c r="A43" s="3" t="s">
        <v>9</v>
      </c>
      <c r="B43" s="8" t="e">
        <f>AVERAGE(B28:B42)</f>
        <v>#DIV/0!</v>
      </c>
      <c r="C43" s="8" t="e">
        <f t="shared" ref="C43:D43" si="10">AVERAGE(C28:C42)</f>
        <v>#DIV/0!</v>
      </c>
      <c r="D43" s="8" t="e">
        <f t="shared" si="10"/>
        <v>#DIV/0!</v>
      </c>
      <c r="E43" s="7" t="e">
        <f>AVERAGE(E28:E42)</f>
        <v>#DIV/0!</v>
      </c>
      <c r="F43" s="7" t="e">
        <f>AVERAGE(F28:F42)</f>
        <v>#DIV/0!</v>
      </c>
      <c r="H43" s="3" t="s">
        <v>9</v>
      </c>
      <c r="I43" s="8">
        <f>AVERAGE(I28:I42)</f>
        <v>2.97</v>
      </c>
      <c r="J43" s="8">
        <f t="shared" ref="J43:K43" si="11">AVERAGE(J28:J42)</f>
        <v>8.36</v>
      </c>
      <c r="K43" s="8">
        <f t="shared" si="11"/>
        <v>10.43</v>
      </c>
      <c r="L43" s="7" t="e">
        <f>AVERAGE(M28:M42)</f>
        <v>#DIV/0!</v>
      </c>
      <c r="M43" s="7">
        <f>AVERAGE(L28:L42)</f>
        <v>0.16339999999999999</v>
      </c>
    </row>
    <row r="44" spans="1:52">
      <c r="A44" s="4" t="s">
        <v>25</v>
      </c>
      <c r="B44" s="9" t="e">
        <f>AVERAGE(B43:D43)</f>
        <v>#DIV/0!</v>
      </c>
      <c r="H44" s="4" t="s">
        <v>25</v>
      </c>
      <c r="I44" s="9">
        <f>AVERAGE(I43:K43)</f>
        <v>7.253333333333333</v>
      </c>
    </row>
    <row r="47" spans="1:52">
      <c r="E47" s="31" t="s">
        <v>26</v>
      </c>
      <c r="F47" s="31"/>
      <c r="G47" s="31"/>
      <c r="H47" s="31"/>
      <c r="I47" s="31"/>
    </row>
    <row r="48" spans="1:52">
      <c r="A48" s="31" t="s">
        <v>30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</row>
    <row r="49" spans="1:13">
      <c r="B49" s="26" t="s">
        <v>28</v>
      </c>
      <c r="C49" s="26"/>
      <c r="D49" s="26"/>
      <c r="E49" s="26"/>
      <c r="I49" s="26" t="s">
        <v>29</v>
      </c>
      <c r="J49" s="26"/>
      <c r="K49" s="26"/>
      <c r="L49" s="26"/>
    </row>
    <row r="50" spans="1:13">
      <c r="A50" s="3" t="s">
        <v>3</v>
      </c>
      <c r="B50" s="3" t="s">
        <v>4</v>
      </c>
      <c r="C50" s="3" t="s">
        <v>5</v>
      </c>
      <c r="D50" s="3" t="s">
        <v>6</v>
      </c>
      <c r="E50" s="3" t="s">
        <v>7</v>
      </c>
      <c r="F50" s="3" t="s">
        <v>8</v>
      </c>
      <c r="H50" s="3" t="s">
        <v>3</v>
      </c>
      <c r="I50" s="3" t="s">
        <v>4</v>
      </c>
      <c r="J50" s="3" t="s">
        <v>5</v>
      </c>
      <c r="K50" s="3" t="s">
        <v>6</v>
      </c>
      <c r="L50" s="3" t="s">
        <v>7</v>
      </c>
      <c r="M50" s="3" t="s">
        <v>8</v>
      </c>
    </row>
    <row r="51" spans="1:13">
      <c r="A51" s="1">
        <v>1</v>
      </c>
      <c r="B51" s="5">
        <v>2.2599999999999998</v>
      </c>
      <c r="C51" s="5">
        <v>5.68</v>
      </c>
      <c r="D51" s="5">
        <v>17.559999999999999</v>
      </c>
      <c r="E51">
        <v>0.16569999999999999</v>
      </c>
      <c r="F51" s="6">
        <f>(B51^2/(C51*D51))^(1/3)</f>
        <v>0.37134821755260605</v>
      </c>
      <c r="H51" s="1">
        <v>1</v>
      </c>
      <c r="I51" s="5">
        <v>3.76</v>
      </c>
      <c r="J51" s="5">
        <v>5.8</v>
      </c>
      <c r="K51" s="5">
        <v>8.25</v>
      </c>
      <c r="L51" s="6">
        <v>0.115</v>
      </c>
      <c r="M51" s="6">
        <f>(I51^2/(J51*K51))^(1/3)</f>
        <v>0.66603632512562549</v>
      </c>
    </row>
    <row r="52" spans="1:13">
      <c r="A52" s="1">
        <f>A51 + 1</f>
        <v>2</v>
      </c>
      <c r="B52" s="5">
        <v>2.29</v>
      </c>
      <c r="C52" s="5">
        <v>5.23</v>
      </c>
      <c r="D52" s="5">
        <v>13.06</v>
      </c>
      <c r="E52">
        <v>8.7599999999999997E-2</v>
      </c>
      <c r="F52" s="6">
        <f t="shared" ref="F52:F65" si="12">(B52^2/(C52*D52))^(1/3)</f>
        <v>0.42501934691922499</v>
      </c>
      <c r="H52" s="1">
        <f>H51 + 1</f>
        <v>2</v>
      </c>
      <c r="I52" s="5">
        <v>2</v>
      </c>
      <c r="J52" s="5">
        <v>4.0599999999999996</v>
      </c>
      <c r="K52" s="5">
        <v>5.3</v>
      </c>
      <c r="L52" s="6">
        <v>2.3300000000000001E-2</v>
      </c>
      <c r="M52" s="6">
        <f t="shared" ref="M52:M65" si="13">(I52^2/(J52*K52))^(1/3)</f>
        <v>0.57071509926035602</v>
      </c>
    </row>
    <row r="53" spans="1:13">
      <c r="A53" s="1">
        <f t="shared" ref="A53:A65" si="14">A52 + 1</f>
        <v>3</v>
      </c>
      <c r="B53" s="5"/>
      <c r="C53" s="5"/>
      <c r="D53" s="5"/>
      <c r="F53" s="6" t="e">
        <f t="shared" si="12"/>
        <v>#DIV/0!</v>
      </c>
      <c r="H53" s="1">
        <f t="shared" ref="H53:H65" si="15">H52 + 1</f>
        <v>3</v>
      </c>
      <c r="I53" s="5">
        <v>3.3</v>
      </c>
      <c r="J53" s="5">
        <v>5.59</v>
      </c>
      <c r="K53" s="5">
        <v>10.66</v>
      </c>
      <c r="L53" s="6">
        <v>0.13</v>
      </c>
      <c r="M53" s="6">
        <f t="shared" si="13"/>
        <v>0.56748313035225528</v>
      </c>
    </row>
    <row r="54" spans="1:13">
      <c r="A54" s="1">
        <f t="shared" si="14"/>
        <v>4</v>
      </c>
      <c r="B54" s="5"/>
      <c r="C54" s="5"/>
      <c r="D54" s="5"/>
      <c r="F54" s="6" t="e">
        <f t="shared" si="12"/>
        <v>#DIV/0!</v>
      </c>
      <c r="H54" s="1">
        <f t="shared" si="15"/>
        <v>4</v>
      </c>
      <c r="I54" s="5">
        <v>3.6</v>
      </c>
      <c r="J54" s="5">
        <v>5.95</v>
      </c>
      <c r="K54" s="5">
        <v>7.13</v>
      </c>
      <c r="L54" s="6">
        <v>0.1076</v>
      </c>
      <c r="M54" s="6">
        <f t="shared" si="13"/>
        <v>0.67349261092286261</v>
      </c>
    </row>
    <row r="55" spans="1:13">
      <c r="A55" s="1">
        <f t="shared" si="14"/>
        <v>5</v>
      </c>
      <c r="B55" s="5"/>
      <c r="C55" s="5"/>
      <c r="D55" s="5"/>
      <c r="F55" s="6" t="e">
        <f t="shared" si="12"/>
        <v>#DIV/0!</v>
      </c>
      <c r="H55" s="1">
        <f t="shared" si="15"/>
        <v>5</v>
      </c>
      <c r="I55" s="5">
        <v>2.98</v>
      </c>
      <c r="J55" s="5">
        <v>6.52</v>
      </c>
      <c r="K55" s="5">
        <v>10.84</v>
      </c>
      <c r="L55" s="6">
        <v>0.14680000000000001</v>
      </c>
      <c r="M55" s="6">
        <f t="shared" si="13"/>
        <v>0.50086253824512383</v>
      </c>
    </row>
    <row r="56" spans="1:13">
      <c r="A56" s="1">
        <f t="shared" si="14"/>
        <v>6</v>
      </c>
      <c r="B56" s="5"/>
      <c r="C56" s="5"/>
      <c r="D56" s="5"/>
      <c r="F56" s="6" t="e">
        <f t="shared" si="12"/>
        <v>#DIV/0!</v>
      </c>
      <c r="H56" s="1">
        <f t="shared" si="15"/>
        <v>6</v>
      </c>
      <c r="I56" s="5">
        <v>2.99</v>
      </c>
      <c r="J56" s="5">
        <v>6.44</v>
      </c>
      <c r="K56" s="5">
        <v>8.59</v>
      </c>
      <c r="L56" s="6">
        <v>0.1084</v>
      </c>
      <c r="M56" s="6">
        <f t="shared" si="13"/>
        <v>0.54469632918289124</v>
      </c>
    </row>
    <row r="57" spans="1:13">
      <c r="A57" s="1">
        <f t="shared" si="14"/>
        <v>7</v>
      </c>
      <c r="B57" s="5"/>
      <c r="C57" s="5"/>
      <c r="D57" s="5"/>
      <c r="F57" s="6" t="e">
        <f t="shared" si="12"/>
        <v>#DIV/0!</v>
      </c>
      <c r="H57" s="1">
        <f t="shared" si="15"/>
        <v>7</v>
      </c>
      <c r="I57" s="5">
        <v>3.31</v>
      </c>
      <c r="J57" s="5">
        <v>4.8</v>
      </c>
      <c r="K57" s="5">
        <v>8.9</v>
      </c>
      <c r="L57" s="6">
        <v>8.8499999999999995E-2</v>
      </c>
      <c r="M57" s="6">
        <f t="shared" si="13"/>
        <v>0.63534299776592484</v>
      </c>
    </row>
    <row r="58" spans="1:13">
      <c r="A58" s="1">
        <f t="shared" si="14"/>
        <v>8</v>
      </c>
      <c r="B58" s="5"/>
      <c r="C58" s="5"/>
      <c r="D58" s="5"/>
      <c r="F58" s="6" t="e">
        <f t="shared" si="12"/>
        <v>#DIV/0!</v>
      </c>
      <c r="H58" s="1">
        <f t="shared" si="15"/>
        <v>8</v>
      </c>
      <c r="I58" s="5">
        <v>4</v>
      </c>
      <c r="J58" s="5">
        <v>4.09</v>
      </c>
      <c r="K58" s="5">
        <v>4.9000000000000004</v>
      </c>
      <c r="L58" s="6">
        <v>6.1199999999999997E-2</v>
      </c>
      <c r="M58" s="6">
        <f t="shared" si="13"/>
        <v>0.92768428181433693</v>
      </c>
    </row>
    <row r="59" spans="1:13">
      <c r="A59" s="1">
        <f t="shared" si="14"/>
        <v>9</v>
      </c>
      <c r="B59" s="5"/>
      <c r="C59" s="5"/>
      <c r="D59" s="5"/>
      <c r="F59" s="6" t="e">
        <f t="shared" si="12"/>
        <v>#DIV/0!</v>
      </c>
      <c r="H59" s="1">
        <f t="shared" si="15"/>
        <v>9</v>
      </c>
      <c r="I59" s="5">
        <v>3.2</v>
      </c>
      <c r="J59" s="5">
        <v>5.32</v>
      </c>
      <c r="K59" s="5">
        <v>7.93</v>
      </c>
      <c r="L59" s="6">
        <v>6.0900000000000003E-2</v>
      </c>
      <c r="M59" s="6">
        <f t="shared" si="13"/>
        <v>0.62378995794805636</v>
      </c>
    </row>
    <row r="60" spans="1:13">
      <c r="A60" s="1">
        <f t="shared" si="14"/>
        <v>10</v>
      </c>
      <c r="B60" s="5"/>
      <c r="C60" s="5"/>
      <c r="D60" s="5"/>
      <c r="F60" s="6" t="e">
        <f t="shared" si="12"/>
        <v>#DIV/0!</v>
      </c>
      <c r="H60" s="1">
        <f t="shared" si="15"/>
        <v>10</v>
      </c>
      <c r="I60" s="5">
        <v>3.25</v>
      </c>
      <c r="J60" s="5">
        <v>4.0999999999999996</v>
      </c>
      <c r="K60" s="5">
        <v>5.23</v>
      </c>
      <c r="L60" s="6">
        <v>4.7100000000000003E-2</v>
      </c>
      <c r="M60" s="6">
        <f t="shared" si="13"/>
        <v>0.78975743916309071</v>
      </c>
    </row>
    <row r="61" spans="1:13">
      <c r="A61" s="1">
        <f t="shared" si="14"/>
        <v>11</v>
      </c>
      <c r="B61" s="5"/>
      <c r="C61" s="5"/>
      <c r="D61" s="5"/>
      <c r="F61" s="6" t="e">
        <f t="shared" si="12"/>
        <v>#DIV/0!</v>
      </c>
      <c r="H61" s="1">
        <f t="shared" si="15"/>
        <v>11</v>
      </c>
      <c r="I61" s="5">
        <v>3.86</v>
      </c>
      <c r="J61" s="5">
        <v>4.68</v>
      </c>
      <c r="K61" s="5">
        <v>6.35</v>
      </c>
      <c r="L61" s="6">
        <v>5.5199999999999999E-2</v>
      </c>
      <c r="M61" s="6">
        <f t="shared" si="13"/>
        <v>0.79442275799870932</v>
      </c>
    </row>
    <row r="62" spans="1:13">
      <c r="A62" s="1">
        <f t="shared" si="14"/>
        <v>12</v>
      </c>
      <c r="B62" s="5"/>
      <c r="C62" s="5"/>
      <c r="D62" s="5"/>
      <c r="F62" s="6" t="e">
        <f t="shared" si="12"/>
        <v>#DIV/0!</v>
      </c>
      <c r="H62" s="1">
        <f t="shared" si="15"/>
        <v>12</v>
      </c>
      <c r="I62" s="5">
        <v>2.57</v>
      </c>
      <c r="J62" s="5">
        <v>6.62</v>
      </c>
      <c r="K62" s="5">
        <v>7.58</v>
      </c>
      <c r="L62" s="6">
        <v>8.9499999999999996E-2</v>
      </c>
      <c r="M62" s="6">
        <f t="shared" si="13"/>
        <v>0.50868197702254558</v>
      </c>
    </row>
    <row r="63" spans="1:13">
      <c r="A63" s="1">
        <f t="shared" si="14"/>
        <v>13</v>
      </c>
      <c r="B63" s="5"/>
      <c r="C63" s="5"/>
      <c r="D63" s="5"/>
      <c r="F63" s="6" t="e">
        <f t="shared" si="12"/>
        <v>#DIV/0!</v>
      </c>
      <c r="H63" s="1">
        <f t="shared" si="15"/>
        <v>13</v>
      </c>
      <c r="I63" s="5">
        <v>2.74</v>
      </c>
      <c r="J63" s="5">
        <v>5.0999999999999996</v>
      </c>
      <c r="K63" s="5">
        <v>5.56</v>
      </c>
      <c r="L63" s="6">
        <v>6.0900000000000003E-2</v>
      </c>
      <c r="M63" s="6">
        <f t="shared" si="13"/>
        <v>0.64212372931963735</v>
      </c>
    </row>
    <row r="64" spans="1:13">
      <c r="A64" s="1">
        <f t="shared" si="14"/>
        <v>14</v>
      </c>
      <c r="B64" s="5"/>
      <c r="C64" s="5"/>
      <c r="D64" s="5"/>
      <c r="F64" s="6" t="e">
        <f t="shared" si="12"/>
        <v>#DIV/0!</v>
      </c>
      <c r="H64" s="1">
        <f t="shared" si="15"/>
        <v>14</v>
      </c>
      <c r="I64" s="5"/>
      <c r="J64" s="5"/>
      <c r="K64" s="5"/>
      <c r="L64" s="6"/>
      <c r="M64" s="6" t="e">
        <f t="shared" si="13"/>
        <v>#DIV/0!</v>
      </c>
    </row>
    <row r="65" spans="1:16">
      <c r="A65" s="1">
        <f t="shared" si="14"/>
        <v>15</v>
      </c>
      <c r="B65" s="5"/>
      <c r="C65" s="5"/>
      <c r="D65" s="5"/>
      <c r="F65" s="6" t="e">
        <f t="shared" si="12"/>
        <v>#DIV/0!</v>
      </c>
      <c r="H65" s="1">
        <f t="shared" si="15"/>
        <v>15</v>
      </c>
      <c r="I65" s="5"/>
      <c r="J65" s="5"/>
      <c r="K65" s="5"/>
      <c r="L65" s="6"/>
      <c r="M65" s="6" t="e">
        <f>(I65^2/(J65*K65))^(1/3)</f>
        <v>#DIV/0!</v>
      </c>
    </row>
    <row r="66" spans="1:16">
      <c r="A66" s="3" t="s">
        <v>9</v>
      </c>
      <c r="B66" s="8">
        <f>AVERAGE(B51:B65)</f>
        <v>2.2749999999999999</v>
      </c>
      <c r="C66" s="8">
        <f t="shared" ref="C66:D66" si="16">AVERAGE(C51:C65)</f>
        <v>5.4550000000000001</v>
      </c>
      <c r="D66" s="8">
        <f t="shared" si="16"/>
        <v>15.309999999999999</v>
      </c>
      <c r="E66" s="7" t="e">
        <f>AVERAGE(F51:F65)</f>
        <v>#DIV/0!</v>
      </c>
      <c r="F66" s="7">
        <f>AVERAGE(E51:E65)</f>
        <v>0.12664999999999998</v>
      </c>
      <c r="H66" s="3" t="s">
        <v>9</v>
      </c>
      <c r="I66" s="8">
        <f>AVERAGE(I51:I65)</f>
        <v>3.1969230769230772</v>
      </c>
      <c r="J66" s="8">
        <f t="shared" ref="J66:K66" si="17">AVERAGE(J51:J65)</f>
        <v>5.3130769230769221</v>
      </c>
      <c r="K66" s="8">
        <f t="shared" si="17"/>
        <v>7.4784615384615387</v>
      </c>
      <c r="L66" s="7" t="e">
        <f>AVERAGE(M51:M65)</f>
        <v>#DIV/0!</v>
      </c>
      <c r="M66" s="7">
        <f>AVERAGE(L51:L65)</f>
        <v>8.4184615384615386E-2</v>
      </c>
    </row>
    <row r="67" spans="1:16">
      <c r="A67" s="4" t="s">
        <v>25</v>
      </c>
      <c r="B67" s="9">
        <f>AVERAGE(B66:D66)</f>
        <v>7.68</v>
      </c>
      <c r="H67" s="4" t="s">
        <v>25</v>
      </c>
      <c r="I67" s="9">
        <f>AVERAGE(I66:K66)</f>
        <v>5.3294871794871801</v>
      </c>
    </row>
    <row r="70" spans="1:16">
      <c r="E70" s="31" t="s">
        <v>26</v>
      </c>
      <c r="F70" s="31"/>
      <c r="G70" s="31"/>
      <c r="H70" s="31"/>
      <c r="I70" s="31"/>
    </row>
    <row r="71" spans="1:16">
      <c r="A71" s="31" t="s">
        <v>31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</row>
    <row r="72" spans="1:16">
      <c r="B72" s="26" t="s">
        <v>28</v>
      </c>
      <c r="C72" s="26"/>
      <c r="D72" s="26"/>
      <c r="E72" s="26"/>
      <c r="I72" s="26" t="s">
        <v>29</v>
      </c>
      <c r="J72" s="26"/>
      <c r="K72" s="26"/>
      <c r="L72" s="26"/>
    </row>
    <row r="73" spans="1:16">
      <c r="A73" s="3" t="s">
        <v>3</v>
      </c>
      <c r="B73" s="3" t="s">
        <v>4</v>
      </c>
      <c r="C73" s="3" t="s">
        <v>5</v>
      </c>
      <c r="D73" s="3" t="s">
        <v>6</v>
      </c>
      <c r="E73" s="3" t="s">
        <v>7</v>
      </c>
      <c r="F73" s="3" t="s">
        <v>8</v>
      </c>
      <c r="H73" s="3" t="s">
        <v>3</v>
      </c>
      <c r="I73" s="3" t="s">
        <v>4</v>
      </c>
      <c r="J73" s="3" t="s">
        <v>5</v>
      </c>
      <c r="K73" s="3" t="s">
        <v>6</v>
      </c>
      <c r="L73" s="3" t="s">
        <v>7</v>
      </c>
      <c r="M73" s="3" t="s">
        <v>8</v>
      </c>
    </row>
    <row r="74" spans="1:16">
      <c r="A74" s="1">
        <v>1</v>
      </c>
      <c r="B74" s="5"/>
      <c r="C74" s="5"/>
      <c r="D74" s="5"/>
      <c r="F74" s="6" t="e">
        <f>(B74^2/(C74*D74))^(1/3)</f>
        <v>#DIV/0!</v>
      </c>
      <c r="H74" s="1">
        <v>1</v>
      </c>
      <c r="I74" s="5">
        <v>2.04</v>
      </c>
      <c r="J74" s="5">
        <v>4.78</v>
      </c>
      <c r="K74" s="5">
        <v>8.61</v>
      </c>
      <c r="L74" s="6">
        <v>6.8099999999999994E-2</v>
      </c>
      <c r="M74" s="6">
        <f>(I74^2/(J74*K74))^(1/3)</f>
        <v>0.46588253393012174</v>
      </c>
    </row>
    <row r="75" spans="1:16">
      <c r="A75" s="1">
        <f>A74 + 1</f>
        <v>2</v>
      </c>
      <c r="B75" s="5"/>
      <c r="C75" s="5"/>
      <c r="D75" s="5"/>
      <c r="F75" s="6" t="e">
        <f t="shared" ref="F75:F88" si="18">(B75^2/(C75*D75))^(1/3)</f>
        <v>#DIV/0!</v>
      </c>
      <c r="H75" s="1">
        <f>H74 + 1</f>
        <v>2</v>
      </c>
      <c r="I75" s="5">
        <v>2.4700000000000002</v>
      </c>
      <c r="J75" s="5">
        <v>4.68</v>
      </c>
      <c r="K75" s="5">
        <v>5.2</v>
      </c>
      <c r="L75" s="6">
        <v>4.5699999999999998E-2</v>
      </c>
      <c r="M75" s="6">
        <f>(I75^2/(J75*K75))^(1/3)</f>
        <v>0.63054328247211333</v>
      </c>
    </row>
    <row r="76" spans="1:16">
      <c r="A76" s="1">
        <f t="shared" ref="A76:A88" si="19">A75 + 1</f>
        <v>3</v>
      </c>
      <c r="B76" s="5"/>
      <c r="C76" s="5"/>
      <c r="D76" s="5"/>
      <c r="F76" s="6" t="e">
        <f t="shared" si="18"/>
        <v>#DIV/0!</v>
      </c>
      <c r="H76" s="1">
        <f t="shared" ref="H76:H88" si="20">H75 + 1</f>
        <v>3</v>
      </c>
      <c r="I76" s="5">
        <v>2.4700000000000002</v>
      </c>
      <c r="J76" s="5">
        <v>3.08</v>
      </c>
      <c r="K76" s="5">
        <v>4.43</v>
      </c>
      <c r="L76" s="6">
        <v>2.6700000000000002E-2</v>
      </c>
      <c r="M76" s="6">
        <f>(I76^2/(J76*K76))^(1/3)</f>
        <v>0.76468015808516832</v>
      </c>
    </row>
    <row r="77" spans="1:16">
      <c r="A77" s="1">
        <f t="shared" si="19"/>
        <v>4</v>
      </c>
      <c r="B77" s="5"/>
      <c r="C77" s="5"/>
      <c r="D77" s="5"/>
      <c r="F77" s="6" t="e">
        <f t="shared" si="18"/>
        <v>#DIV/0!</v>
      </c>
      <c r="H77" s="1">
        <f t="shared" si="20"/>
        <v>4</v>
      </c>
      <c r="I77" s="5">
        <v>1.52</v>
      </c>
      <c r="J77" s="5">
        <v>3.72</v>
      </c>
      <c r="K77" s="5">
        <v>5.69</v>
      </c>
      <c r="L77" s="6">
        <v>2.23E-2</v>
      </c>
      <c r="M77" s="6">
        <f>(I77^2/(J77*K77))^(1/3)</f>
        <v>0.47790765816786174</v>
      </c>
      <c r="O77" s="10"/>
      <c r="P77" s="15"/>
    </row>
    <row r="78" spans="1:16">
      <c r="A78" s="1">
        <f t="shared" si="19"/>
        <v>5</v>
      </c>
      <c r="B78" s="5"/>
      <c r="C78" s="5"/>
      <c r="D78" s="5"/>
      <c r="F78" s="6" t="e">
        <f t="shared" si="18"/>
        <v>#DIV/0!</v>
      </c>
      <c r="H78" s="1">
        <f t="shared" si="20"/>
        <v>5</v>
      </c>
      <c r="I78" s="5">
        <v>1.77</v>
      </c>
      <c r="J78" s="5">
        <v>3.1</v>
      </c>
      <c r="K78" s="5">
        <v>10.039999999999999</v>
      </c>
      <c r="L78" s="6">
        <v>4.5699999999999998E-2</v>
      </c>
      <c r="M78" s="6">
        <f>(I78^2/(J78*K78))^(1/3)</f>
        <v>0.4651757237728717</v>
      </c>
    </row>
    <row r="79" spans="1:16">
      <c r="A79" s="1">
        <f t="shared" si="19"/>
        <v>6</v>
      </c>
      <c r="B79" s="5"/>
      <c r="C79" s="5"/>
      <c r="D79" s="5"/>
      <c r="F79" s="6" t="e">
        <f t="shared" si="18"/>
        <v>#DIV/0!</v>
      </c>
      <c r="H79" s="1">
        <f t="shared" si="20"/>
        <v>6</v>
      </c>
      <c r="I79" s="5">
        <v>1.48</v>
      </c>
      <c r="J79" s="5">
        <v>2.39</v>
      </c>
      <c r="K79" s="5">
        <v>3.35</v>
      </c>
      <c r="L79" s="6">
        <v>6.1999999999999998E-3</v>
      </c>
      <c r="M79" s="6">
        <f>(I79^2/(J79*K79))^(1/3)</f>
        <v>0.64917268955207996</v>
      </c>
    </row>
    <row r="80" spans="1:16">
      <c r="A80" s="1">
        <f t="shared" si="19"/>
        <v>7</v>
      </c>
      <c r="B80" s="5"/>
      <c r="C80" s="5"/>
      <c r="D80" s="5"/>
      <c r="F80" s="6" t="e">
        <f t="shared" si="18"/>
        <v>#DIV/0!</v>
      </c>
      <c r="H80" s="1">
        <f t="shared" si="20"/>
        <v>7</v>
      </c>
      <c r="I80" s="5">
        <v>2.76</v>
      </c>
      <c r="J80" s="5">
        <v>4</v>
      </c>
      <c r="K80" s="5">
        <v>7.08</v>
      </c>
      <c r="L80" s="6">
        <v>5.3400000000000003E-2</v>
      </c>
      <c r="M80" s="6">
        <f>(I80^2/(J80*K80))^(1/3)</f>
        <v>0.64551792292617283</v>
      </c>
    </row>
    <row r="81" spans="1:13">
      <c r="A81" s="1">
        <f t="shared" si="19"/>
        <v>8</v>
      </c>
      <c r="B81" s="5"/>
      <c r="C81" s="5"/>
      <c r="D81" s="5"/>
      <c r="F81" s="6" t="e">
        <f t="shared" si="18"/>
        <v>#DIV/0!</v>
      </c>
      <c r="H81" s="1">
        <f t="shared" si="20"/>
        <v>8</v>
      </c>
      <c r="I81" s="5">
        <v>2.39</v>
      </c>
      <c r="J81" s="5">
        <v>3.45</v>
      </c>
      <c r="K81" s="5">
        <v>5.28</v>
      </c>
      <c r="L81" s="6">
        <v>2.86E-2</v>
      </c>
      <c r="M81" s="6">
        <f>(I81^2/(J81*K81))^(1/3)</f>
        <v>0.67938235233689614</v>
      </c>
    </row>
    <row r="82" spans="1:13">
      <c r="A82" s="1">
        <f t="shared" si="19"/>
        <v>9</v>
      </c>
      <c r="B82" s="5"/>
      <c r="C82" s="5"/>
      <c r="D82" s="5"/>
      <c r="F82" s="6" t="e">
        <f t="shared" si="18"/>
        <v>#DIV/0!</v>
      </c>
      <c r="H82" s="1">
        <f t="shared" si="20"/>
        <v>9</v>
      </c>
      <c r="I82" s="5">
        <v>3.29</v>
      </c>
      <c r="J82" s="5">
        <v>4.21</v>
      </c>
      <c r="K82" s="5">
        <v>7.41</v>
      </c>
      <c r="L82" s="6">
        <v>5.2999999999999999E-2</v>
      </c>
      <c r="M82" s="6">
        <f>(I82^2/(J82*K82))^(1/3)</f>
        <v>0.70269009314856967</v>
      </c>
    </row>
    <row r="83" spans="1:13">
      <c r="A83" s="1">
        <f t="shared" si="19"/>
        <v>10</v>
      </c>
      <c r="B83" s="5"/>
      <c r="C83" s="5"/>
      <c r="D83" s="5"/>
      <c r="F83" s="6" t="e">
        <f t="shared" si="18"/>
        <v>#DIV/0!</v>
      </c>
      <c r="H83" s="1">
        <f t="shared" si="20"/>
        <v>10</v>
      </c>
      <c r="I83" s="5">
        <v>2.4700000000000002</v>
      </c>
      <c r="J83" s="5">
        <v>3.3</v>
      </c>
      <c r="K83" s="5">
        <v>7.2</v>
      </c>
      <c r="L83" s="6">
        <v>3.9399999999999998E-2</v>
      </c>
      <c r="M83" s="6">
        <f>(I83^2/(J83*K83))^(1/3)</f>
        <v>0.63559795331706925</v>
      </c>
    </row>
    <row r="84" spans="1:13">
      <c r="A84" s="1">
        <f t="shared" si="19"/>
        <v>11</v>
      </c>
      <c r="B84" s="5"/>
      <c r="C84" s="5"/>
      <c r="D84" s="5"/>
      <c r="F84" s="6" t="e">
        <f t="shared" si="18"/>
        <v>#DIV/0!</v>
      </c>
      <c r="H84" s="1">
        <f t="shared" si="20"/>
        <v>11</v>
      </c>
      <c r="I84" s="5"/>
      <c r="J84" s="5"/>
      <c r="K84" s="5"/>
      <c r="L84" s="6"/>
      <c r="M84" s="6" t="e">
        <f>(I84^2/(J84*K84))^(1/3)</f>
        <v>#DIV/0!</v>
      </c>
    </row>
    <row r="85" spans="1:13">
      <c r="A85" s="1">
        <f t="shared" si="19"/>
        <v>12</v>
      </c>
      <c r="B85" s="5"/>
      <c r="C85" s="5"/>
      <c r="D85" s="5"/>
      <c r="F85" s="6" t="e">
        <f t="shared" si="18"/>
        <v>#DIV/0!</v>
      </c>
      <c r="H85" s="1">
        <f t="shared" si="20"/>
        <v>12</v>
      </c>
      <c r="I85" s="5"/>
      <c r="J85" s="5"/>
      <c r="K85" s="5"/>
      <c r="L85" s="6"/>
      <c r="M85" s="6" t="e">
        <f>(I85^2/(J85*K85))^(1/3)</f>
        <v>#DIV/0!</v>
      </c>
    </row>
    <row r="86" spans="1:13">
      <c r="A86" s="1">
        <f t="shared" si="19"/>
        <v>13</v>
      </c>
      <c r="B86" s="5"/>
      <c r="C86" s="5"/>
      <c r="D86" s="5"/>
      <c r="F86" s="6" t="e">
        <f t="shared" si="18"/>
        <v>#DIV/0!</v>
      </c>
      <c r="H86" s="1">
        <f t="shared" si="20"/>
        <v>13</v>
      </c>
      <c r="I86" s="5"/>
      <c r="J86" s="5"/>
      <c r="K86" s="5"/>
      <c r="L86" s="6"/>
      <c r="M86" s="6" t="e">
        <f>(I86^2/(J86*K86))^(1/3)</f>
        <v>#DIV/0!</v>
      </c>
    </row>
    <row r="87" spans="1:13">
      <c r="A87" s="1">
        <f t="shared" si="19"/>
        <v>14</v>
      </c>
      <c r="B87" s="5"/>
      <c r="C87" s="5"/>
      <c r="D87" s="5"/>
      <c r="F87" s="6" t="e">
        <f t="shared" si="18"/>
        <v>#DIV/0!</v>
      </c>
      <c r="H87" s="1">
        <f t="shared" si="20"/>
        <v>14</v>
      </c>
      <c r="I87" s="5"/>
      <c r="J87" s="5"/>
      <c r="K87" s="5"/>
      <c r="L87" s="6"/>
      <c r="M87" s="6" t="e">
        <f>(I87^2/(J87*K87))^(1/3)</f>
        <v>#DIV/0!</v>
      </c>
    </row>
    <row r="88" spans="1:13">
      <c r="A88" s="1">
        <f t="shared" si="19"/>
        <v>15</v>
      </c>
      <c r="B88" s="5"/>
      <c r="C88" s="5"/>
      <c r="D88" s="5"/>
      <c r="F88" s="6" t="e">
        <f t="shared" si="18"/>
        <v>#DIV/0!</v>
      </c>
      <c r="H88" s="1">
        <f t="shared" si="20"/>
        <v>15</v>
      </c>
      <c r="I88" s="5"/>
      <c r="J88" s="5"/>
      <c r="K88" s="5"/>
      <c r="L88" s="6"/>
      <c r="M88" s="6" t="e">
        <f>(I88^2/(J88*K88))^(1/3)</f>
        <v>#DIV/0!</v>
      </c>
    </row>
    <row r="89" spans="1:13">
      <c r="A89" s="3" t="s">
        <v>9</v>
      </c>
      <c r="B89" s="8" t="e">
        <f>AVERAGE(B74:B88)</f>
        <v>#DIV/0!</v>
      </c>
      <c r="C89" s="8" t="e">
        <f t="shared" ref="C89:D89" si="21">AVERAGE(C74:C88)</f>
        <v>#DIV/0!</v>
      </c>
      <c r="D89" s="8" t="e">
        <f t="shared" si="21"/>
        <v>#DIV/0!</v>
      </c>
      <c r="E89" s="7" t="e">
        <f>AVERAGE(F74:F88)</f>
        <v>#DIV/0!</v>
      </c>
      <c r="F89" s="7" t="e">
        <f>AVERAGE(E74:E88)</f>
        <v>#DIV/0!</v>
      </c>
      <c r="H89" s="3" t="s">
        <v>9</v>
      </c>
      <c r="I89" s="8">
        <f>AVERAGE(I74:I88)</f>
        <v>2.2659999999999996</v>
      </c>
      <c r="J89" s="8">
        <f t="shared" ref="J89:K89" si="22">AVERAGE(J74:J88)</f>
        <v>3.6710000000000003</v>
      </c>
      <c r="K89" s="8">
        <f t="shared" si="22"/>
        <v>6.4290000000000003</v>
      </c>
      <c r="L89" s="7" t="e">
        <f>AVERAGE(M74:M88)</f>
        <v>#DIV/0!</v>
      </c>
      <c r="M89" s="7">
        <f>AVERAGE(L74:L88)</f>
        <v>3.891E-2</v>
      </c>
    </row>
    <row r="90" spans="1:13">
      <c r="A90" s="4" t="s">
        <v>25</v>
      </c>
      <c r="B90" s="9" t="e">
        <f>AVERAGE(B89:D89)</f>
        <v>#DIV/0!</v>
      </c>
      <c r="H90" s="4" t="s">
        <v>25</v>
      </c>
      <c r="I90" s="9">
        <f>AVERAGE(I89:K89)</f>
        <v>4.1219999999999999</v>
      </c>
    </row>
    <row r="97" spans="1:13">
      <c r="E97" s="25" t="s">
        <v>26</v>
      </c>
      <c r="F97" s="25"/>
      <c r="G97" s="25"/>
      <c r="H97" s="25"/>
      <c r="I97" s="25"/>
    </row>
    <row r="98" spans="1:13">
      <c r="A98" s="25" t="s">
        <v>32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</row>
    <row r="99" spans="1:13">
      <c r="B99" s="26" t="s">
        <v>33</v>
      </c>
      <c r="C99" s="26"/>
      <c r="D99" s="26"/>
      <c r="E99" s="26"/>
      <c r="I99" s="26" t="s">
        <v>34</v>
      </c>
      <c r="J99" s="26"/>
      <c r="K99" s="26"/>
      <c r="L99" s="26"/>
    </row>
    <row r="100" spans="1:13">
      <c r="A100" s="3" t="s">
        <v>3</v>
      </c>
      <c r="B100" s="3" t="s">
        <v>4</v>
      </c>
      <c r="C100" s="3" t="s">
        <v>5</v>
      </c>
      <c r="D100" s="3" t="s">
        <v>6</v>
      </c>
      <c r="E100" s="3" t="s">
        <v>7</v>
      </c>
      <c r="F100" s="3" t="s">
        <v>8</v>
      </c>
      <c r="H100" s="3" t="s">
        <v>3</v>
      </c>
      <c r="I100" s="3" t="s">
        <v>4</v>
      </c>
      <c r="J100" s="3" t="s">
        <v>5</v>
      </c>
      <c r="K100" s="3" t="s">
        <v>6</v>
      </c>
      <c r="L100" s="3" t="s">
        <v>7</v>
      </c>
      <c r="M100" s="3" t="s">
        <v>8</v>
      </c>
    </row>
    <row r="101" spans="1:13">
      <c r="A101" s="1">
        <v>1</v>
      </c>
      <c r="B101" s="5">
        <v>2.19</v>
      </c>
      <c r="C101" s="5">
        <v>9.27</v>
      </c>
      <c r="D101" s="5">
        <v>10.62</v>
      </c>
      <c r="E101" s="6">
        <v>0.1205</v>
      </c>
      <c r="F101" s="6">
        <f>(B101^2/(C101*D101))^(1/3)</f>
        <v>0.3652256967472074</v>
      </c>
      <c r="H101" s="1">
        <v>1</v>
      </c>
      <c r="I101" s="5">
        <v>5.84</v>
      </c>
      <c r="J101" s="5">
        <v>7.21</v>
      </c>
      <c r="K101" s="5">
        <v>9.0399999999999991</v>
      </c>
      <c r="L101" s="6">
        <v>0.25180000000000002</v>
      </c>
      <c r="M101" s="6">
        <f>(I101^2/(J101*K101))^(1/3)</f>
        <v>0.80582486915902085</v>
      </c>
    </row>
    <row r="102" spans="1:13">
      <c r="A102" s="1">
        <f>A101 + 1</f>
        <v>2</v>
      </c>
      <c r="B102" s="5">
        <v>2.14</v>
      </c>
      <c r="C102" s="5">
        <v>10.78</v>
      </c>
      <c r="D102" s="5">
        <v>12.96</v>
      </c>
      <c r="E102" s="6">
        <v>0.17849999999999999</v>
      </c>
      <c r="F102" s="6">
        <f t="shared" ref="F102:F125" si="23">(B102^2/(C102*D102))^(1/3)</f>
        <v>0.32003778902870544</v>
      </c>
      <c r="H102" s="1">
        <f>H101 + 1</f>
        <v>2</v>
      </c>
      <c r="I102" s="5">
        <v>5.72</v>
      </c>
      <c r="J102" s="5">
        <v>10.15</v>
      </c>
      <c r="K102" s="5">
        <v>15.55</v>
      </c>
      <c r="L102" s="6">
        <v>0.49690000000000001</v>
      </c>
      <c r="M102" s="6">
        <f t="shared" ref="M102:M115" si="24">(I102^2/(J102*K102))^(1/3)</f>
        <v>0.59183213240049382</v>
      </c>
    </row>
    <row r="103" spans="1:13">
      <c r="A103" s="1">
        <f t="shared" ref="A103:A125" si="25">A102 + 1</f>
        <v>3</v>
      </c>
      <c r="B103" s="5">
        <v>2.4500000000000002</v>
      </c>
      <c r="C103" s="5">
        <v>8.2899999999999991</v>
      </c>
      <c r="D103" s="5">
        <v>10.85</v>
      </c>
      <c r="E103" s="6">
        <v>0.1429</v>
      </c>
      <c r="F103" s="6">
        <f t="shared" si="23"/>
        <v>0.40561683005802168</v>
      </c>
      <c r="H103" s="1">
        <f t="shared" ref="H103:H125" si="26">H102 + 1</f>
        <v>3</v>
      </c>
      <c r="I103" s="5">
        <v>5.27</v>
      </c>
      <c r="J103" s="5">
        <v>9.2200000000000006</v>
      </c>
      <c r="K103" s="5">
        <v>11.3</v>
      </c>
      <c r="L103" s="6">
        <v>0.34110000000000001</v>
      </c>
      <c r="M103" s="6">
        <f t="shared" si="24"/>
        <v>0.6435820981741831</v>
      </c>
    </row>
    <row r="104" spans="1:13">
      <c r="A104" s="1">
        <f t="shared" si="25"/>
        <v>4</v>
      </c>
      <c r="B104" s="5">
        <v>2.2799999999999998</v>
      </c>
      <c r="C104" s="5">
        <v>11.29</v>
      </c>
      <c r="D104" s="5">
        <v>12.99</v>
      </c>
      <c r="E104" s="6">
        <v>0.20399999999999999</v>
      </c>
      <c r="F104" s="6">
        <f t="shared" si="23"/>
        <v>0.32849003567970925</v>
      </c>
      <c r="H104" s="1">
        <f t="shared" si="26"/>
        <v>4</v>
      </c>
      <c r="I104" s="5">
        <v>5.54</v>
      </c>
      <c r="J104" s="5">
        <v>6.52</v>
      </c>
      <c r="K104" s="5">
        <v>9.31</v>
      </c>
      <c r="L104" s="6">
        <v>0.24260000000000001</v>
      </c>
      <c r="M104" s="6">
        <f t="shared" si="24"/>
        <v>0.79666196700176839</v>
      </c>
    </row>
    <row r="105" spans="1:13">
      <c r="A105" s="1">
        <f t="shared" si="25"/>
        <v>5</v>
      </c>
      <c r="B105" s="5">
        <v>2.27</v>
      </c>
      <c r="C105" s="5">
        <v>9.56</v>
      </c>
      <c r="D105" s="5">
        <v>14.26</v>
      </c>
      <c r="E105" s="6">
        <v>0.1893</v>
      </c>
      <c r="F105" s="6">
        <f t="shared" si="23"/>
        <v>0.33560217403552295</v>
      </c>
      <c r="H105" s="1">
        <f t="shared" si="26"/>
        <v>5</v>
      </c>
      <c r="I105" s="5">
        <v>5.54</v>
      </c>
      <c r="J105" s="5">
        <v>7.67</v>
      </c>
      <c r="K105" s="5">
        <v>10.8</v>
      </c>
      <c r="L105" s="6">
        <v>0.29820000000000002</v>
      </c>
      <c r="M105" s="6">
        <f t="shared" si="24"/>
        <v>0.71823539462507213</v>
      </c>
    </row>
    <row r="106" spans="1:13">
      <c r="A106" s="1">
        <f t="shared" si="25"/>
        <v>6</v>
      </c>
      <c r="B106" s="5">
        <v>2.25</v>
      </c>
      <c r="C106" s="5">
        <v>9.0399999999999991</v>
      </c>
      <c r="D106" s="5">
        <v>11.58</v>
      </c>
      <c r="E106" s="6">
        <v>0.1522</v>
      </c>
      <c r="F106" s="6">
        <f t="shared" si="23"/>
        <v>0.36433090740420981</v>
      </c>
      <c r="H106" s="1">
        <f t="shared" si="26"/>
        <v>6</v>
      </c>
      <c r="I106" s="5">
        <v>5.73</v>
      </c>
      <c r="J106" s="5">
        <v>9.61</v>
      </c>
      <c r="K106" s="5">
        <v>11.17</v>
      </c>
      <c r="L106" s="6">
        <v>0.41739999999999999</v>
      </c>
      <c r="M106" s="6">
        <f t="shared" si="24"/>
        <v>0.67376879691403235</v>
      </c>
    </row>
    <row r="107" spans="1:13">
      <c r="A107" s="1">
        <f t="shared" si="25"/>
        <v>7</v>
      </c>
      <c r="B107" s="5">
        <v>2.2200000000000002</v>
      </c>
      <c r="C107" s="5">
        <v>7.68</v>
      </c>
      <c r="D107" s="5">
        <v>12.65</v>
      </c>
      <c r="E107" s="6">
        <v>0.1134</v>
      </c>
      <c r="F107" s="6">
        <f t="shared" si="23"/>
        <v>0.37018436135022137</v>
      </c>
      <c r="H107" s="1">
        <f t="shared" si="26"/>
        <v>7</v>
      </c>
      <c r="I107" s="5">
        <v>5.04</v>
      </c>
      <c r="J107" s="5">
        <v>5.28</v>
      </c>
      <c r="K107" s="5">
        <v>11.08</v>
      </c>
      <c r="L107" s="6">
        <v>0.22550000000000001</v>
      </c>
      <c r="M107" s="6">
        <f t="shared" si="24"/>
        <v>0.7572322988201502</v>
      </c>
    </row>
    <row r="108" spans="1:13">
      <c r="A108" s="1">
        <f t="shared" si="25"/>
        <v>8</v>
      </c>
      <c r="B108" s="5">
        <v>2.2200000000000002</v>
      </c>
      <c r="C108" s="5">
        <v>7.57</v>
      </c>
      <c r="D108" s="5">
        <v>10.94</v>
      </c>
      <c r="E108" s="6">
        <v>0.1275</v>
      </c>
      <c r="F108" s="6">
        <f t="shared" si="23"/>
        <v>0.39041897398627529</v>
      </c>
      <c r="H108" s="1">
        <f t="shared" si="26"/>
        <v>8</v>
      </c>
      <c r="I108" s="5">
        <v>5.17</v>
      </c>
      <c r="J108" s="5">
        <v>9.5399999999999991</v>
      </c>
      <c r="K108" s="5">
        <v>9.98</v>
      </c>
      <c r="L108" s="6">
        <v>0.27539999999999998</v>
      </c>
      <c r="M108" s="6">
        <f t="shared" si="24"/>
        <v>0.65478801764343453</v>
      </c>
    </row>
    <row r="109" spans="1:13">
      <c r="A109" s="1">
        <f t="shared" si="25"/>
        <v>9</v>
      </c>
      <c r="B109" s="5">
        <v>2.3199999999999998</v>
      </c>
      <c r="C109" s="5">
        <v>8.2799999999999994</v>
      </c>
      <c r="D109" s="5">
        <v>14.02</v>
      </c>
      <c r="E109" s="6">
        <v>0.1492</v>
      </c>
      <c r="F109" s="6">
        <f t="shared" si="23"/>
        <v>0.35925200982038646</v>
      </c>
      <c r="H109" s="1">
        <f t="shared" si="26"/>
        <v>9</v>
      </c>
      <c r="I109" s="5">
        <v>5.04</v>
      </c>
      <c r="J109" s="5">
        <v>8.11</v>
      </c>
      <c r="K109" s="5">
        <v>10.28</v>
      </c>
      <c r="L109" s="6">
        <v>0.2747</v>
      </c>
      <c r="M109" s="6">
        <f t="shared" si="24"/>
        <v>0.67289768576087339</v>
      </c>
    </row>
    <row r="110" spans="1:13">
      <c r="A110" s="1">
        <f t="shared" si="25"/>
        <v>10</v>
      </c>
      <c r="B110" s="5">
        <v>2.21</v>
      </c>
      <c r="C110" s="5">
        <v>8.85</v>
      </c>
      <c r="D110" s="5">
        <v>10.65</v>
      </c>
      <c r="E110" s="6">
        <v>0.1162</v>
      </c>
      <c r="F110" s="6">
        <f t="shared" si="23"/>
        <v>0.37281830100188484</v>
      </c>
      <c r="H110" s="1">
        <f t="shared" si="26"/>
        <v>10</v>
      </c>
      <c r="I110" s="5">
        <v>4.79</v>
      </c>
      <c r="J110" s="5">
        <v>9.1300000000000008</v>
      </c>
      <c r="K110" s="5">
        <v>11.42</v>
      </c>
      <c r="L110" s="6">
        <v>0.19989999999999999</v>
      </c>
      <c r="M110" s="6">
        <f t="shared" si="24"/>
        <v>0.60373272214119522</v>
      </c>
    </row>
    <row r="111" spans="1:13">
      <c r="A111" s="1">
        <f t="shared" si="25"/>
        <v>11</v>
      </c>
      <c r="B111" s="5">
        <v>2.2599999999999998</v>
      </c>
      <c r="C111" s="5">
        <v>9.7100000000000009</v>
      </c>
      <c r="D111" s="5">
        <v>13.55</v>
      </c>
      <c r="E111" s="6">
        <v>0.18360000000000001</v>
      </c>
      <c r="F111" s="6">
        <f t="shared" si="23"/>
        <v>0.3385993481717845</v>
      </c>
      <c r="H111" s="1">
        <f t="shared" si="26"/>
        <v>11</v>
      </c>
      <c r="I111" s="5">
        <v>5.92</v>
      </c>
      <c r="J111" s="5">
        <v>6.56</v>
      </c>
      <c r="K111" s="5">
        <v>12.21</v>
      </c>
      <c r="L111" s="6">
        <v>0.25569999999999998</v>
      </c>
      <c r="M111" s="6">
        <f t="shared" si="24"/>
        <v>0.75917396033512929</v>
      </c>
    </row>
    <row r="112" spans="1:13">
      <c r="A112" s="1">
        <f t="shared" si="25"/>
        <v>12</v>
      </c>
      <c r="B112" s="5">
        <v>2.13</v>
      </c>
      <c r="C112" s="5">
        <v>8.83</v>
      </c>
      <c r="D112" s="5">
        <v>10.19</v>
      </c>
      <c r="E112" s="6">
        <v>0.1182</v>
      </c>
      <c r="F112" s="6">
        <f t="shared" si="23"/>
        <v>0.36943789391723131</v>
      </c>
      <c r="H112" s="1">
        <f t="shared" si="26"/>
        <v>12</v>
      </c>
      <c r="I112" s="5">
        <v>5.51</v>
      </c>
      <c r="J112" s="5">
        <v>7.22</v>
      </c>
      <c r="K112" s="5">
        <v>10.46</v>
      </c>
      <c r="L112" s="6">
        <v>0.25219999999999998</v>
      </c>
      <c r="M112" s="6">
        <f t="shared" si="24"/>
        <v>0.73803694961650113</v>
      </c>
    </row>
    <row r="113" spans="1:13">
      <c r="A113" s="1">
        <f t="shared" si="25"/>
        <v>13</v>
      </c>
      <c r="B113" s="5">
        <v>2.12</v>
      </c>
      <c r="C113" s="5">
        <v>9.4600000000000009</v>
      </c>
      <c r="D113" s="5">
        <v>15.84</v>
      </c>
      <c r="E113" s="6">
        <v>0.20630000000000001</v>
      </c>
      <c r="F113" s="6">
        <f t="shared" si="23"/>
        <v>0.31070039310484648</v>
      </c>
      <c r="H113" s="1">
        <f t="shared" si="26"/>
        <v>13</v>
      </c>
      <c r="I113" s="5">
        <v>5.89</v>
      </c>
      <c r="J113" s="5">
        <v>7.98</v>
      </c>
      <c r="K113" s="5">
        <v>10.18</v>
      </c>
      <c r="L113" s="6">
        <v>0.31469999999999998</v>
      </c>
      <c r="M113" s="6">
        <f t="shared" si="24"/>
        <v>0.75305490230010141</v>
      </c>
    </row>
    <row r="114" spans="1:13">
      <c r="A114" s="1">
        <f t="shared" si="25"/>
        <v>14</v>
      </c>
      <c r="B114" s="5">
        <v>2.12</v>
      </c>
      <c r="C114" s="5">
        <v>8.07</v>
      </c>
      <c r="D114" s="5">
        <v>14.8</v>
      </c>
      <c r="E114" s="6">
        <v>0.14699999999999999</v>
      </c>
      <c r="F114" s="6">
        <f t="shared" si="23"/>
        <v>0.33510339201470146</v>
      </c>
      <c r="H114" s="1">
        <f t="shared" si="26"/>
        <v>14</v>
      </c>
      <c r="I114" s="5">
        <v>5.8</v>
      </c>
      <c r="J114" s="5">
        <v>6.93</v>
      </c>
      <c r="K114" s="5">
        <v>11.09</v>
      </c>
      <c r="L114" s="6">
        <v>0.28999999999999998</v>
      </c>
      <c r="M114" s="6">
        <f t="shared" si="24"/>
        <v>0.7592714480295818</v>
      </c>
    </row>
    <row r="115" spans="1:13">
      <c r="A115" s="1">
        <f t="shared" si="25"/>
        <v>15</v>
      </c>
      <c r="B115" s="5">
        <v>2.21</v>
      </c>
      <c r="C115" s="5">
        <v>10.8</v>
      </c>
      <c r="D115" s="5">
        <v>13.98</v>
      </c>
      <c r="E115" s="6">
        <v>0.14499999999999999</v>
      </c>
      <c r="F115" s="6">
        <f t="shared" si="23"/>
        <v>0.31862844212245572</v>
      </c>
      <c r="H115" s="1">
        <f t="shared" si="26"/>
        <v>15</v>
      </c>
      <c r="I115" s="5">
        <v>5.41</v>
      </c>
      <c r="J115" s="5">
        <v>6.71</v>
      </c>
      <c r="K115" s="5">
        <v>10.67</v>
      </c>
      <c r="L115" s="6">
        <v>0.28749999999999998</v>
      </c>
      <c r="M115" s="6">
        <f>(I115^2/(J115*K115))^(1/3)</f>
        <v>0.74216852161190094</v>
      </c>
    </row>
    <row r="116" spans="1:13">
      <c r="A116" s="1">
        <f t="shared" si="25"/>
        <v>16</v>
      </c>
      <c r="B116" s="5">
        <v>2.27</v>
      </c>
      <c r="C116" s="5">
        <v>9.69</v>
      </c>
      <c r="D116" s="5">
        <v>16.87</v>
      </c>
      <c r="E116" s="6">
        <v>0.23319999999999999</v>
      </c>
      <c r="F116" s="6">
        <f t="shared" si="23"/>
        <v>0.31589126591203609</v>
      </c>
      <c r="H116" s="1">
        <f t="shared" si="26"/>
        <v>16</v>
      </c>
      <c r="I116" s="5">
        <v>6.93</v>
      </c>
      <c r="J116" s="5">
        <v>9.25</v>
      </c>
      <c r="K116" s="5">
        <v>12.06</v>
      </c>
      <c r="L116" s="6">
        <v>0.37919999999999998</v>
      </c>
      <c r="M116" s="6">
        <f t="shared" ref="M116:M125" si="27">(I116^2/(J116*K116))^(1/3)</f>
        <v>0.75507914646435847</v>
      </c>
    </row>
    <row r="117" spans="1:13">
      <c r="A117" s="1">
        <f t="shared" si="25"/>
        <v>17</v>
      </c>
      <c r="B117" s="5">
        <v>2.21</v>
      </c>
      <c r="C117" s="5">
        <v>8.3000000000000007</v>
      </c>
      <c r="D117" s="5">
        <v>11.33</v>
      </c>
      <c r="E117" s="6">
        <v>0.13200000000000001</v>
      </c>
      <c r="F117" s="6">
        <f t="shared" si="23"/>
        <v>0.37310022852157271</v>
      </c>
      <c r="H117" s="1">
        <f t="shared" si="26"/>
        <v>17</v>
      </c>
      <c r="I117" s="5">
        <v>6.07</v>
      </c>
      <c r="J117" s="5">
        <v>7.41</v>
      </c>
      <c r="K117" s="5">
        <v>10.74</v>
      </c>
      <c r="L117" s="6">
        <v>0.32790000000000002</v>
      </c>
      <c r="M117" s="6">
        <f t="shared" si="27"/>
        <v>0.77360327137649287</v>
      </c>
    </row>
    <row r="118" spans="1:13">
      <c r="A118" s="1">
        <f t="shared" si="25"/>
        <v>18</v>
      </c>
      <c r="B118" s="5">
        <v>3.28</v>
      </c>
      <c r="C118" s="5">
        <v>7.99</v>
      </c>
      <c r="D118" s="5">
        <v>11.79</v>
      </c>
      <c r="E118" s="6">
        <v>0.128</v>
      </c>
      <c r="F118" s="6">
        <f t="shared" si="23"/>
        <v>0.4851719685740612</v>
      </c>
      <c r="H118" s="1">
        <f t="shared" si="26"/>
        <v>18</v>
      </c>
      <c r="I118" s="5">
        <v>4.5599999999999996</v>
      </c>
      <c r="J118" s="5">
        <v>7.74</v>
      </c>
      <c r="K118" s="5">
        <v>11.06</v>
      </c>
      <c r="L118" s="6">
        <v>0.2452</v>
      </c>
      <c r="M118" s="6">
        <f t="shared" si="27"/>
        <v>0.62394244805472854</v>
      </c>
    </row>
    <row r="119" spans="1:13">
      <c r="A119" s="1">
        <f t="shared" si="25"/>
        <v>19</v>
      </c>
      <c r="B119" s="5">
        <v>2.2400000000000002</v>
      </c>
      <c r="C119" s="5">
        <v>9.14</v>
      </c>
      <c r="D119" s="5">
        <v>10.27</v>
      </c>
      <c r="E119" s="6">
        <v>0.11890000000000001</v>
      </c>
      <c r="F119" s="6">
        <f t="shared" si="23"/>
        <v>0.37669784216559016</v>
      </c>
      <c r="H119" s="1">
        <f t="shared" si="26"/>
        <v>19</v>
      </c>
      <c r="I119" s="5">
        <v>5.46</v>
      </c>
      <c r="J119" s="5">
        <v>8.0500000000000007</v>
      </c>
      <c r="K119" s="5">
        <v>9.2100000000000009</v>
      </c>
      <c r="L119" s="6">
        <v>0.26250000000000001</v>
      </c>
      <c r="M119" s="6">
        <f t="shared" si="27"/>
        <v>0.73809102584954955</v>
      </c>
    </row>
    <row r="120" spans="1:13">
      <c r="A120" s="1">
        <f t="shared" si="25"/>
        <v>20</v>
      </c>
      <c r="B120" s="5">
        <v>2.4</v>
      </c>
      <c r="C120" s="5">
        <v>8.01</v>
      </c>
      <c r="D120" s="5">
        <v>11.61</v>
      </c>
      <c r="E120" s="6">
        <v>0.1295</v>
      </c>
      <c r="F120" s="6">
        <f t="shared" si="23"/>
        <v>0.39565736030565318</v>
      </c>
      <c r="H120" s="1">
        <f t="shared" si="26"/>
        <v>20</v>
      </c>
      <c r="I120" s="5">
        <v>4.87</v>
      </c>
      <c r="J120" s="5">
        <v>8.5</v>
      </c>
      <c r="K120" s="5">
        <v>12.64</v>
      </c>
      <c r="L120" s="6">
        <v>0.30769999999999997</v>
      </c>
      <c r="M120" s="6">
        <f t="shared" si="27"/>
        <v>0.60436221967844794</v>
      </c>
    </row>
    <row r="121" spans="1:13">
      <c r="A121" s="1">
        <f t="shared" si="25"/>
        <v>21</v>
      </c>
      <c r="B121" s="5">
        <v>2.21</v>
      </c>
      <c r="C121" s="5">
        <v>8.34</v>
      </c>
      <c r="D121" s="5">
        <v>13.37</v>
      </c>
      <c r="E121" s="6">
        <v>0.1426</v>
      </c>
      <c r="F121" s="6">
        <f t="shared" si="23"/>
        <v>0.35250263127712095</v>
      </c>
      <c r="H121" s="1">
        <f t="shared" si="26"/>
        <v>21</v>
      </c>
      <c r="I121" s="5">
        <v>5.44</v>
      </c>
      <c r="J121" s="5">
        <v>7.11</v>
      </c>
      <c r="K121" s="5">
        <v>9.3699999999999992</v>
      </c>
      <c r="L121" s="6">
        <v>0.22</v>
      </c>
      <c r="M121" s="6">
        <f t="shared" si="27"/>
        <v>0.7630087808486492</v>
      </c>
    </row>
    <row r="122" spans="1:13">
      <c r="A122" s="1">
        <f t="shared" si="25"/>
        <v>22</v>
      </c>
      <c r="B122" s="5">
        <v>2.1800000000000002</v>
      </c>
      <c r="C122" s="5">
        <v>7.64</v>
      </c>
      <c r="D122" s="5">
        <v>11.12</v>
      </c>
      <c r="E122" s="6">
        <v>0.11210000000000001</v>
      </c>
      <c r="F122" s="6">
        <f t="shared" si="23"/>
        <v>0.38244731281935235</v>
      </c>
      <c r="H122" s="1">
        <f t="shared" si="26"/>
        <v>22</v>
      </c>
      <c r="I122" s="5">
        <v>5.71</v>
      </c>
      <c r="J122" s="5">
        <v>7.19</v>
      </c>
      <c r="K122" s="5">
        <v>8.8000000000000007</v>
      </c>
      <c r="L122" s="6">
        <v>0.2465</v>
      </c>
      <c r="M122" s="6">
        <f t="shared" si="27"/>
        <v>0.80171538528329067</v>
      </c>
    </row>
    <row r="123" spans="1:13">
      <c r="A123" s="1">
        <f t="shared" si="25"/>
        <v>23</v>
      </c>
      <c r="B123" s="5">
        <v>2.19</v>
      </c>
      <c r="C123" s="5">
        <v>9.1</v>
      </c>
      <c r="D123" s="5">
        <v>12.6</v>
      </c>
      <c r="E123" s="6">
        <v>0.14050000000000001</v>
      </c>
      <c r="F123" s="6">
        <f t="shared" si="23"/>
        <v>0.34712995932260621</v>
      </c>
      <c r="H123" s="1">
        <f t="shared" si="26"/>
        <v>23</v>
      </c>
      <c r="I123" s="5">
        <v>5.5</v>
      </c>
      <c r="J123" s="5">
        <v>7.44</v>
      </c>
      <c r="K123" s="5">
        <v>10.08</v>
      </c>
      <c r="L123" s="6">
        <v>0.30349999999999999</v>
      </c>
      <c r="M123" s="6">
        <f t="shared" si="27"/>
        <v>0.73886308758419583</v>
      </c>
    </row>
    <row r="124" spans="1:13">
      <c r="A124" s="1">
        <f t="shared" si="25"/>
        <v>24</v>
      </c>
      <c r="B124" s="5">
        <v>2.27</v>
      </c>
      <c r="C124" s="5">
        <v>9.0299999999999994</v>
      </c>
      <c r="D124" s="5">
        <v>11.96</v>
      </c>
      <c r="E124" s="6">
        <v>0.13420000000000001</v>
      </c>
      <c r="F124" s="6">
        <f t="shared" si="23"/>
        <v>0.36269724894484706</v>
      </c>
      <c r="H124" s="1">
        <f t="shared" si="26"/>
        <v>24</v>
      </c>
      <c r="I124" s="5">
        <v>5.43</v>
      </c>
      <c r="J124" s="5">
        <v>7.25</v>
      </c>
      <c r="K124" s="5">
        <v>10.34</v>
      </c>
      <c r="L124" s="6">
        <v>0.27300000000000002</v>
      </c>
      <c r="M124" s="6">
        <f t="shared" si="27"/>
        <v>0.73267893356432179</v>
      </c>
    </row>
    <row r="125" spans="1:13">
      <c r="A125" s="1">
        <f t="shared" si="25"/>
        <v>25</v>
      </c>
      <c r="B125" s="5">
        <v>3.19</v>
      </c>
      <c r="C125" s="5">
        <v>8.26</v>
      </c>
      <c r="D125" s="5">
        <v>11.35</v>
      </c>
      <c r="E125" s="6">
        <v>9.7000000000000003E-2</v>
      </c>
      <c r="F125" s="6">
        <f t="shared" si="23"/>
        <v>0.47701842311568848</v>
      </c>
      <c r="H125" s="1">
        <f t="shared" si="26"/>
        <v>25</v>
      </c>
      <c r="I125" s="5">
        <v>5.3</v>
      </c>
      <c r="J125" s="5">
        <v>7.51</v>
      </c>
      <c r="K125" s="5">
        <v>11.13</v>
      </c>
      <c r="L125" s="6">
        <v>0.34470000000000001</v>
      </c>
      <c r="M125" s="6">
        <f t="shared" si="27"/>
        <v>0.69524660896274337</v>
      </c>
    </row>
    <row r="126" spans="1:13">
      <c r="A126" s="3" t="s">
        <v>9</v>
      </c>
      <c r="B126" s="8">
        <f>AVERAGE(B101:B115)</f>
        <v>2.226</v>
      </c>
      <c r="C126" s="8">
        <f>AVERAGE(C101:C115)</f>
        <v>9.1653333333333329</v>
      </c>
      <c r="D126" s="8">
        <f>AVERAGE(D101:D115)</f>
        <v>12.658666666666669</v>
      </c>
      <c r="E126" s="7">
        <f>AVERAGE(E101:E115)</f>
        <v>0.15292</v>
      </c>
      <c r="F126" s="7">
        <f>AVERAGE(F101:F115)</f>
        <v>0.35229643656287757</v>
      </c>
      <c r="H126" s="3" t="s">
        <v>9</v>
      </c>
      <c r="I126" s="8">
        <f>AVERAGE(I101:I115)</f>
        <v>5.4806666666666661</v>
      </c>
      <c r="J126" s="8">
        <f>AVERAGE(J101:J115)</f>
        <v>7.855999999999999</v>
      </c>
      <c r="K126" s="8">
        <f>AVERAGE(K101:K115)</f>
        <v>10.969333333333335</v>
      </c>
      <c r="L126" s="7">
        <f>AVERAGE(M101:M115)</f>
        <v>0.71135078430222931</v>
      </c>
      <c r="M126" s="7">
        <f>AVERAGE(L101:L115)</f>
        <v>0.29490666666666665</v>
      </c>
    </row>
    <row r="129" spans="1:13">
      <c r="E129" s="25" t="s">
        <v>26</v>
      </c>
      <c r="F129" s="25"/>
      <c r="G129" s="25"/>
      <c r="H129" s="25"/>
      <c r="I129" s="25"/>
    </row>
    <row r="130" spans="1:13">
      <c r="A130" s="25" t="s">
        <v>35</v>
      </c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</row>
    <row r="131" spans="1:13">
      <c r="B131" s="26" t="s">
        <v>33</v>
      </c>
      <c r="C131" s="26"/>
      <c r="D131" s="26"/>
      <c r="E131" s="26"/>
      <c r="I131" s="26" t="s">
        <v>34</v>
      </c>
      <c r="J131" s="26"/>
      <c r="K131" s="26"/>
      <c r="L131" s="26"/>
    </row>
    <row r="132" spans="1:13">
      <c r="A132" s="3" t="s">
        <v>3</v>
      </c>
      <c r="B132" s="3" t="s">
        <v>4</v>
      </c>
      <c r="C132" s="3" t="s">
        <v>5</v>
      </c>
      <c r="D132" s="3" t="s">
        <v>6</v>
      </c>
      <c r="E132" s="3" t="s">
        <v>7</v>
      </c>
      <c r="F132" s="3" t="s">
        <v>8</v>
      </c>
      <c r="H132" s="3" t="s">
        <v>3</v>
      </c>
      <c r="I132" s="3" t="s">
        <v>4</v>
      </c>
      <c r="J132" s="3" t="s">
        <v>5</v>
      </c>
      <c r="K132" s="3" t="s">
        <v>6</v>
      </c>
      <c r="L132" s="3" t="s">
        <v>7</v>
      </c>
      <c r="M132" s="3" t="s">
        <v>8</v>
      </c>
    </row>
    <row r="133" spans="1:13">
      <c r="A133" s="1">
        <v>1</v>
      </c>
      <c r="B133" s="5">
        <v>2.5099999999999998</v>
      </c>
      <c r="C133" s="5">
        <v>7.48</v>
      </c>
      <c r="D133" s="5">
        <v>12.92</v>
      </c>
      <c r="E133" s="6">
        <v>0.1101</v>
      </c>
      <c r="F133" s="6">
        <f>(B133^2/(C133*D133))^(1/3)</f>
        <v>0.40246468382699152</v>
      </c>
      <c r="H133" s="1">
        <v>1</v>
      </c>
      <c r="I133" s="5">
        <v>3.51</v>
      </c>
      <c r="J133" s="5">
        <v>4.93</v>
      </c>
      <c r="K133" s="5">
        <v>6.24</v>
      </c>
      <c r="L133" s="6">
        <v>7.8200000000000006E-2</v>
      </c>
      <c r="M133" s="6">
        <f>(I133^2/(J133*K133))^(1/3)</f>
        <v>0.73710197466413363</v>
      </c>
    </row>
    <row r="134" spans="1:13">
      <c r="A134" s="1">
        <f>A133 + 1</f>
        <v>2</v>
      </c>
      <c r="B134" s="5">
        <v>2.23</v>
      </c>
      <c r="C134" s="5">
        <v>7.04</v>
      </c>
      <c r="D134" s="5">
        <v>10.79</v>
      </c>
      <c r="E134" s="6">
        <v>6.8000000000000005E-2</v>
      </c>
      <c r="F134" s="6">
        <f t="shared" ref="F134:F157" si="28">(B134^2/(C134*D134))^(1/3)</f>
        <v>0.40303108225258172</v>
      </c>
      <c r="H134" s="1">
        <f>H133 + 1</f>
        <v>2</v>
      </c>
      <c r="I134" s="5">
        <v>4.2300000000000004</v>
      </c>
      <c r="J134" s="5">
        <v>5.54</v>
      </c>
      <c r="K134" s="5">
        <v>6.33</v>
      </c>
      <c r="L134" s="6">
        <v>9.5399999999999999E-2</v>
      </c>
      <c r="M134" s="6">
        <f t="shared" ref="M134:M147" si="29">(I134^2/(J134*K134))^(1/3)</f>
        <v>0.79907783940138366</v>
      </c>
    </row>
    <row r="135" spans="1:13">
      <c r="A135" s="1">
        <f t="shared" ref="A135:A157" si="30">A134 + 1</f>
        <v>3</v>
      </c>
      <c r="B135" s="5">
        <v>2</v>
      </c>
      <c r="C135" s="5">
        <v>4.95</v>
      </c>
      <c r="D135" s="5">
        <v>6.08</v>
      </c>
      <c r="E135" s="6">
        <v>3.9899999999999998E-2</v>
      </c>
      <c r="F135" s="6">
        <f t="shared" si="28"/>
        <v>0.51032918341121358</v>
      </c>
      <c r="H135" s="1">
        <f t="shared" ref="H135:H157" si="31">H134 + 1</f>
        <v>3</v>
      </c>
      <c r="I135" s="5">
        <v>3.35</v>
      </c>
      <c r="J135" s="5">
        <v>6.44</v>
      </c>
      <c r="K135" s="5">
        <v>9.67</v>
      </c>
      <c r="L135" s="6">
        <v>0.15490000000000001</v>
      </c>
      <c r="M135" s="6">
        <f t="shared" si="29"/>
        <v>0.5648404073318285</v>
      </c>
    </row>
    <row r="136" spans="1:13">
      <c r="A136" s="1">
        <f t="shared" si="30"/>
        <v>4</v>
      </c>
      <c r="B136" s="5">
        <v>2.4300000000000002</v>
      </c>
      <c r="C136" s="5">
        <v>8.0399999999999991</v>
      </c>
      <c r="D136" s="5">
        <v>12.22</v>
      </c>
      <c r="E136" s="6">
        <v>0.1399</v>
      </c>
      <c r="F136" s="6">
        <f t="shared" si="28"/>
        <v>0.39170738919010689</v>
      </c>
      <c r="H136" s="1">
        <f t="shared" si="31"/>
        <v>4</v>
      </c>
      <c r="I136" s="5">
        <v>3.17</v>
      </c>
      <c r="J136" s="5">
        <v>5.58</v>
      </c>
      <c r="K136" s="5">
        <v>9.02</v>
      </c>
      <c r="L136" s="6">
        <v>8.72E-2</v>
      </c>
      <c r="M136" s="6">
        <f t="shared" si="29"/>
        <v>0.58446601416803734</v>
      </c>
    </row>
    <row r="137" spans="1:13">
      <c r="A137" s="1">
        <f t="shared" si="30"/>
        <v>5</v>
      </c>
      <c r="B137" s="5">
        <v>2.2200000000000002</v>
      </c>
      <c r="C137" s="5">
        <v>4.99</v>
      </c>
      <c r="D137" s="5">
        <v>7.44</v>
      </c>
      <c r="E137" s="6">
        <v>5.8200000000000002E-2</v>
      </c>
      <c r="F137" s="6">
        <f t="shared" si="28"/>
        <v>0.5101260353725926</v>
      </c>
      <c r="H137" s="1">
        <f t="shared" si="31"/>
        <v>5</v>
      </c>
      <c r="I137" s="5">
        <v>3.78</v>
      </c>
      <c r="J137" s="5">
        <v>6.28</v>
      </c>
      <c r="K137" s="5">
        <v>6.88</v>
      </c>
      <c r="L137" s="6">
        <v>9.98E-2</v>
      </c>
      <c r="M137" s="6">
        <f t="shared" si="29"/>
        <v>0.69153129580141304</v>
      </c>
    </row>
    <row r="138" spans="1:13">
      <c r="A138" s="1">
        <f t="shared" si="30"/>
        <v>6</v>
      </c>
      <c r="B138" s="5">
        <v>3.29</v>
      </c>
      <c r="C138" s="5">
        <v>5.58</v>
      </c>
      <c r="D138" s="5">
        <v>9.49</v>
      </c>
      <c r="E138" s="6">
        <v>8.4000000000000005E-2</v>
      </c>
      <c r="F138" s="6">
        <f t="shared" si="28"/>
        <v>0.58906578054858671</v>
      </c>
      <c r="H138" s="1">
        <f t="shared" si="31"/>
        <v>6</v>
      </c>
      <c r="I138" s="5">
        <v>4.1399999999999997</v>
      </c>
      <c r="J138" s="5">
        <v>5.36</v>
      </c>
      <c r="K138" s="5">
        <v>5.69</v>
      </c>
      <c r="L138" s="6">
        <v>0.10340000000000001</v>
      </c>
      <c r="M138" s="6">
        <f t="shared" si="29"/>
        <v>0.82522911516737352</v>
      </c>
    </row>
    <row r="139" spans="1:13">
      <c r="A139" s="1">
        <f t="shared" si="30"/>
        <v>7</v>
      </c>
      <c r="B139" s="5">
        <v>2.2000000000000002</v>
      </c>
      <c r="C139" s="5">
        <v>6.13</v>
      </c>
      <c r="D139" s="5">
        <v>8.6199999999999992</v>
      </c>
      <c r="E139" s="6">
        <v>8.8200000000000001E-2</v>
      </c>
      <c r="F139" s="6">
        <f t="shared" si="28"/>
        <v>0.45077436171265856</v>
      </c>
      <c r="H139" s="1">
        <f t="shared" si="31"/>
        <v>7</v>
      </c>
      <c r="I139" s="5">
        <v>3.64</v>
      </c>
      <c r="J139" s="5">
        <v>6.77</v>
      </c>
      <c r="K139" s="5">
        <v>7.38</v>
      </c>
      <c r="L139" s="6">
        <v>9.2899999999999996E-2</v>
      </c>
      <c r="M139" s="6">
        <f t="shared" si="29"/>
        <v>0.64246959427827433</v>
      </c>
    </row>
    <row r="140" spans="1:13">
      <c r="A140" s="1">
        <f t="shared" si="30"/>
        <v>8</v>
      </c>
      <c r="B140" s="5">
        <v>2.1800000000000002</v>
      </c>
      <c r="C140" s="5">
        <v>7</v>
      </c>
      <c r="D140" s="5">
        <v>12.94</v>
      </c>
      <c r="E140" s="6">
        <v>0.1094</v>
      </c>
      <c r="F140" s="6">
        <f t="shared" si="28"/>
        <v>0.37436355001695393</v>
      </c>
      <c r="H140" s="1">
        <f t="shared" si="31"/>
        <v>8</v>
      </c>
      <c r="I140" s="5">
        <v>4.4800000000000004</v>
      </c>
      <c r="J140" s="5">
        <v>5.09</v>
      </c>
      <c r="K140" s="5">
        <v>7.18</v>
      </c>
      <c r="L140" s="6">
        <v>0.1192</v>
      </c>
      <c r="M140" s="6">
        <f t="shared" si="29"/>
        <v>0.81891331742837525</v>
      </c>
    </row>
    <row r="141" spans="1:13">
      <c r="A141" s="1">
        <f t="shared" si="30"/>
        <v>9</v>
      </c>
      <c r="B141" s="5">
        <v>2.16</v>
      </c>
      <c r="C141" s="5">
        <v>5.67</v>
      </c>
      <c r="D141" s="5">
        <v>10.55</v>
      </c>
      <c r="E141" s="6">
        <v>7.7200000000000005E-2</v>
      </c>
      <c r="F141" s="6">
        <f t="shared" si="28"/>
        <v>0.42725845061713291</v>
      </c>
      <c r="H141" s="1">
        <f t="shared" si="31"/>
        <v>9</v>
      </c>
      <c r="I141" s="5">
        <v>4.5199999999999996</v>
      </c>
      <c r="J141" s="5">
        <v>6.51</v>
      </c>
      <c r="K141" s="5">
        <v>10.56</v>
      </c>
      <c r="L141" s="6">
        <v>0.187</v>
      </c>
      <c r="M141" s="6">
        <f t="shared" si="29"/>
        <v>0.66733512991162802</v>
      </c>
    </row>
    <row r="142" spans="1:13">
      <c r="A142" s="1">
        <f t="shared" si="30"/>
        <v>10</v>
      </c>
      <c r="B142" s="5">
        <v>2.11</v>
      </c>
      <c r="C142" s="5">
        <v>5.47</v>
      </c>
      <c r="D142" s="5">
        <v>9.68</v>
      </c>
      <c r="E142" s="6">
        <v>7.3499999999999996E-2</v>
      </c>
      <c r="F142" s="6">
        <f t="shared" si="28"/>
        <v>0.43809410463609344</v>
      </c>
      <c r="H142" s="1">
        <f t="shared" si="31"/>
        <v>10</v>
      </c>
      <c r="I142" s="5">
        <v>5.7</v>
      </c>
      <c r="J142" s="5">
        <v>5.84</v>
      </c>
      <c r="K142" s="5">
        <v>7.65</v>
      </c>
      <c r="L142" s="6">
        <v>0.16109999999999999</v>
      </c>
      <c r="M142" s="6">
        <f t="shared" si="29"/>
        <v>0.89927352895074975</v>
      </c>
    </row>
    <row r="143" spans="1:13">
      <c r="A143" s="1">
        <f t="shared" si="30"/>
        <v>11</v>
      </c>
      <c r="B143" s="5">
        <v>2.23</v>
      </c>
      <c r="C143" s="5">
        <v>4.4000000000000004</v>
      </c>
      <c r="D143" s="5">
        <v>8.8800000000000008</v>
      </c>
      <c r="E143" s="6">
        <v>4.9599999999999998E-2</v>
      </c>
      <c r="F143" s="6">
        <f t="shared" si="28"/>
        <v>0.50301549258207223</v>
      </c>
      <c r="H143" s="1">
        <f t="shared" si="31"/>
        <v>11</v>
      </c>
      <c r="I143" s="5">
        <v>4.3</v>
      </c>
      <c r="J143" s="5">
        <v>5.38</v>
      </c>
      <c r="K143" s="5">
        <v>6.53</v>
      </c>
      <c r="L143" s="6">
        <v>9.4700000000000006E-2</v>
      </c>
      <c r="M143" s="6">
        <f t="shared" si="29"/>
        <v>0.80738464329762749</v>
      </c>
    </row>
    <row r="144" spans="1:13">
      <c r="A144" s="1">
        <f t="shared" si="30"/>
        <v>12</v>
      </c>
      <c r="B144" s="5">
        <v>2.09</v>
      </c>
      <c r="C144" s="5">
        <v>6.19</v>
      </c>
      <c r="D144" s="5">
        <v>7.99</v>
      </c>
      <c r="E144" s="6">
        <v>4.9500000000000002E-2</v>
      </c>
      <c r="F144" s="6">
        <f t="shared" si="28"/>
        <v>0.4453331739247689</v>
      </c>
      <c r="H144" s="1">
        <f t="shared" si="31"/>
        <v>12</v>
      </c>
      <c r="I144" s="5">
        <v>5.79</v>
      </c>
      <c r="J144" s="5">
        <v>6.71</v>
      </c>
      <c r="K144" s="5">
        <v>8.61</v>
      </c>
      <c r="L144" s="6">
        <v>0.1719</v>
      </c>
      <c r="M144" s="6">
        <f t="shared" si="29"/>
        <v>0.83408533469087154</v>
      </c>
    </row>
    <row r="145" spans="1:13">
      <c r="A145" s="1">
        <f t="shared" si="30"/>
        <v>13</v>
      </c>
      <c r="B145" s="5">
        <v>3.34</v>
      </c>
      <c r="C145" s="5">
        <v>7.79</v>
      </c>
      <c r="D145" s="5">
        <v>11.06</v>
      </c>
      <c r="E145" s="6">
        <v>0.11360000000000001</v>
      </c>
      <c r="F145" s="6">
        <f t="shared" si="28"/>
        <v>0.50590245042585769</v>
      </c>
      <c r="H145" s="1">
        <f t="shared" si="31"/>
        <v>13</v>
      </c>
      <c r="I145" s="5">
        <v>5.18</v>
      </c>
      <c r="J145" s="5">
        <v>5.53</v>
      </c>
      <c r="K145" s="5">
        <v>8.6199999999999992</v>
      </c>
      <c r="L145" s="6">
        <v>0.17549999999999999</v>
      </c>
      <c r="M145" s="6">
        <f t="shared" si="29"/>
        <v>0.82567482066495612</v>
      </c>
    </row>
    <row r="146" spans="1:13">
      <c r="A146" s="1">
        <f t="shared" si="30"/>
        <v>14</v>
      </c>
      <c r="B146" s="5">
        <v>2.2400000000000002</v>
      </c>
      <c r="C146" s="5">
        <v>5.17</v>
      </c>
      <c r="D146" s="5">
        <v>7.72</v>
      </c>
      <c r="E146" s="6">
        <v>5.6899999999999999E-2</v>
      </c>
      <c r="F146" s="6">
        <f t="shared" si="28"/>
        <v>0.50095194185419434</v>
      </c>
      <c r="H146" s="1">
        <f t="shared" si="31"/>
        <v>14</v>
      </c>
      <c r="I146" s="5">
        <v>5.25</v>
      </c>
      <c r="J146" s="5">
        <v>5.98</v>
      </c>
      <c r="K146" s="5">
        <v>8.19</v>
      </c>
      <c r="L146" s="6">
        <v>0.1525</v>
      </c>
      <c r="M146" s="6">
        <f t="shared" si="29"/>
        <v>0.82561550495323743</v>
      </c>
    </row>
    <row r="147" spans="1:13">
      <c r="A147" s="1">
        <f t="shared" si="30"/>
        <v>15</v>
      </c>
      <c r="B147" s="5">
        <v>3.19</v>
      </c>
      <c r="C147" s="5">
        <v>9.7200000000000006</v>
      </c>
      <c r="D147" s="5">
        <v>11.66</v>
      </c>
      <c r="E147" s="6">
        <v>9.4700000000000006E-2</v>
      </c>
      <c r="F147" s="6">
        <f t="shared" si="28"/>
        <v>0.44778772427627422</v>
      </c>
      <c r="H147" s="1">
        <f t="shared" si="31"/>
        <v>15</v>
      </c>
      <c r="I147" s="5">
        <v>4.0199999999999996</v>
      </c>
      <c r="J147" s="5">
        <v>6.66</v>
      </c>
      <c r="K147" s="5">
        <v>10.09</v>
      </c>
      <c r="L147" s="6">
        <v>0.15759999999999999</v>
      </c>
      <c r="M147" s="6">
        <f>(I147^2/(J147*K147))^(1/3)</f>
        <v>0.62186422083386295</v>
      </c>
    </row>
    <row r="148" spans="1:13">
      <c r="A148" s="1">
        <f t="shared" si="30"/>
        <v>16</v>
      </c>
      <c r="B148" s="5">
        <v>2.14</v>
      </c>
      <c r="C148" s="5">
        <v>6.18</v>
      </c>
      <c r="D148" s="5">
        <v>8.48</v>
      </c>
      <c r="E148" s="6">
        <v>6.0299999999999999E-2</v>
      </c>
      <c r="F148" s="6">
        <f t="shared" si="28"/>
        <v>0.44375957791041909</v>
      </c>
      <c r="H148" s="1">
        <f t="shared" si="31"/>
        <v>16</v>
      </c>
      <c r="I148" s="5">
        <v>3.45</v>
      </c>
      <c r="J148" s="5">
        <v>5.0599999999999996</v>
      </c>
      <c r="K148" s="5">
        <v>7.81</v>
      </c>
      <c r="L148" s="6">
        <v>9.4100000000000003E-2</v>
      </c>
      <c r="M148" s="6">
        <f t="shared" ref="M148:M157" si="32">(I148^2/(J148*K148))^(1/3)</f>
        <v>0.67031491027216439</v>
      </c>
    </row>
    <row r="149" spans="1:13">
      <c r="A149" s="1">
        <f t="shared" si="30"/>
        <v>17</v>
      </c>
      <c r="B149" s="5">
        <v>2.71</v>
      </c>
      <c r="C149" s="5">
        <v>7.22</v>
      </c>
      <c r="D149" s="5">
        <v>9.86</v>
      </c>
      <c r="E149" s="6">
        <v>8.8599999999999998E-2</v>
      </c>
      <c r="F149" s="6">
        <f t="shared" si="28"/>
        <v>0.46900213862478923</v>
      </c>
      <c r="H149" s="1">
        <f t="shared" si="31"/>
        <v>17</v>
      </c>
      <c r="I149" s="5">
        <v>3.75</v>
      </c>
      <c r="J149" s="5">
        <v>7.63</v>
      </c>
      <c r="K149" s="5">
        <v>9.3699999999999992</v>
      </c>
      <c r="L149" s="6">
        <v>0.18140000000000001</v>
      </c>
      <c r="M149" s="6">
        <f t="shared" si="32"/>
        <v>0.58156661647962016</v>
      </c>
    </row>
    <row r="150" spans="1:13">
      <c r="A150" s="1">
        <f t="shared" si="30"/>
        <v>18</v>
      </c>
      <c r="B150" s="5">
        <v>2.15</v>
      </c>
      <c r="C150" s="5">
        <v>6.97</v>
      </c>
      <c r="D150" s="5">
        <v>10.93</v>
      </c>
      <c r="E150" s="6">
        <v>7.7499999999999999E-2</v>
      </c>
      <c r="F150" s="6">
        <f t="shared" si="28"/>
        <v>0.39295364951755923</v>
      </c>
      <c r="H150" s="1">
        <f t="shared" si="31"/>
        <v>18</v>
      </c>
      <c r="I150" s="5">
        <v>5.0999999999999996</v>
      </c>
      <c r="J150" s="5">
        <v>7.55</v>
      </c>
      <c r="K150" s="5">
        <v>11.78</v>
      </c>
      <c r="L150" s="6">
        <v>0.21690000000000001</v>
      </c>
      <c r="M150" s="6">
        <f t="shared" si="32"/>
        <v>0.6637675801502918</v>
      </c>
    </row>
    <row r="151" spans="1:13">
      <c r="A151" s="1">
        <f t="shared" si="30"/>
        <v>19</v>
      </c>
      <c r="B151" s="5">
        <v>1.48</v>
      </c>
      <c r="C151" s="5">
        <v>5.86</v>
      </c>
      <c r="D151" s="5">
        <v>9.76</v>
      </c>
      <c r="E151" s="6">
        <v>4.8899999999999999E-2</v>
      </c>
      <c r="F151" s="6">
        <f t="shared" si="28"/>
        <v>0.33707406022768449</v>
      </c>
      <c r="H151" s="1">
        <f t="shared" si="31"/>
        <v>19</v>
      </c>
      <c r="I151" s="5">
        <v>4.43</v>
      </c>
      <c r="J151" s="5">
        <v>6.13</v>
      </c>
      <c r="K151" s="5">
        <v>7.34</v>
      </c>
      <c r="L151" s="6">
        <v>0.12520000000000001</v>
      </c>
      <c r="M151" s="6">
        <f t="shared" si="32"/>
        <v>0.75837435631649075</v>
      </c>
    </row>
    <row r="152" spans="1:13">
      <c r="A152" s="1">
        <f t="shared" si="30"/>
        <v>20</v>
      </c>
      <c r="B152" s="5">
        <v>2.1800000000000002</v>
      </c>
      <c r="C152" s="5">
        <v>6.89</v>
      </c>
      <c r="D152" s="5">
        <v>11</v>
      </c>
      <c r="E152" s="6">
        <v>9.4E-2</v>
      </c>
      <c r="F152" s="6">
        <f t="shared" si="28"/>
        <v>0.39728334609759441</v>
      </c>
      <c r="H152" s="1">
        <f t="shared" si="31"/>
        <v>20</v>
      </c>
      <c r="I152" s="5">
        <v>4.3499999999999996</v>
      </c>
      <c r="J152" s="5">
        <v>5.28</v>
      </c>
      <c r="K152" s="5">
        <v>8.4600000000000009</v>
      </c>
      <c r="L152" s="6">
        <v>0.1401</v>
      </c>
      <c r="M152" s="6">
        <f t="shared" si="32"/>
        <v>0.75103136755161937</v>
      </c>
    </row>
    <row r="153" spans="1:13">
      <c r="A153" s="1">
        <f t="shared" si="30"/>
        <v>21</v>
      </c>
      <c r="B153" s="5">
        <v>2.19</v>
      </c>
      <c r="C153" s="5">
        <v>5.92</v>
      </c>
      <c r="D153" s="5">
        <v>9.8000000000000007</v>
      </c>
      <c r="E153" s="6">
        <v>6.25E-2</v>
      </c>
      <c r="F153" s="6">
        <f t="shared" si="28"/>
        <v>0.43562568908471955</v>
      </c>
      <c r="H153" s="1">
        <f t="shared" si="31"/>
        <v>21</v>
      </c>
      <c r="I153" s="5">
        <v>3.09</v>
      </c>
      <c r="J153" s="5">
        <v>5.46</v>
      </c>
      <c r="K153" s="5">
        <v>8.2200000000000006</v>
      </c>
      <c r="L153" s="6">
        <v>7.3099999999999998E-2</v>
      </c>
      <c r="M153" s="6">
        <f t="shared" si="32"/>
        <v>0.59696769914669412</v>
      </c>
    </row>
    <row r="154" spans="1:13">
      <c r="A154" s="1">
        <f t="shared" si="30"/>
        <v>22</v>
      </c>
      <c r="B154" s="5">
        <v>2.14</v>
      </c>
      <c r="C154" s="5">
        <v>7.06</v>
      </c>
      <c r="D154" s="5">
        <v>9.77</v>
      </c>
      <c r="E154" s="6">
        <v>7.8899999999999998E-2</v>
      </c>
      <c r="F154" s="6">
        <f t="shared" si="28"/>
        <v>0.40492640146630254</v>
      </c>
      <c r="H154" s="1">
        <f t="shared" si="31"/>
        <v>22</v>
      </c>
      <c r="I154" s="5">
        <v>5.56</v>
      </c>
      <c r="J154" s="5">
        <v>5.63</v>
      </c>
      <c r="K154" s="5">
        <v>7.77</v>
      </c>
      <c r="L154" s="6">
        <v>0.1517</v>
      </c>
      <c r="M154" s="6">
        <f t="shared" si="32"/>
        <v>0.89071764661239272</v>
      </c>
    </row>
    <row r="155" spans="1:13">
      <c r="A155" s="1">
        <f t="shared" si="30"/>
        <v>23</v>
      </c>
      <c r="B155" s="5">
        <v>2.2200000000000002</v>
      </c>
      <c r="C155" s="5">
        <v>4.28</v>
      </c>
      <c r="D155" s="5">
        <v>10.4</v>
      </c>
      <c r="E155" s="6">
        <v>7.0300000000000001E-2</v>
      </c>
      <c r="F155" s="6">
        <f t="shared" si="28"/>
        <v>0.48018613228232199</v>
      </c>
      <c r="H155" s="1">
        <f t="shared" si="31"/>
        <v>23</v>
      </c>
      <c r="I155" s="5">
        <v>4.4800000000000004</v>
      </c>
      <c r="J155" s="5">
        <v>6.6</v>
      </c>
      <c r="K155" s="5">
        <v>7.58</v>
      </c>
      <c r="L155" s="6">
        <v>0.1384</v>
      </c>
      <c r="M155" s="6">
        <f t="shared" si="32"/>
        <v>0.73753215975043751</v>
      </c>
    </row>
    <row r="156" spans="1:13">
      <c r="A156" s="1">
        <f t="shared" si="30"/>
        <v>24</v>
      </c>
      <c r="B156" s="5">
        <v>2.17</v>
      </c>
      <c r="C156" s="5">
        <v>5.27</v>
      </c>
      <c r="D156" s="5">
        <v>9.2100000000000009</v>
      </c>
      <c r="E156" s="6">
        <v>5.9700000000000003E-2</v>
      </c>
      <c r="F156" s="6">
        <f t="shared" si="28"/>
        <v>0.4594974166742814</v>
      </c>
      <c r="H156" s="1">
        <f t="shared" si="31"/>
        <v>24</v>
      </c>
      <c r="I156" s="5">
        <v>5.23</v>
      </c>
      <c r="J156" s="5">
        <v>5.78</v>
      </c>
      <c r="K156" s="5">
        <v>8.64</v>
      </c>
      <c r="L156" s="6">
        <v>0.1769</v>
      </c>
      <c r="M156" s="6">
        <f t="shared" si="32"/>
        <v>0.81818955741111166</v>
      </c>
    </row>
    <row r="157" spans="1:13">
      <c r="A157" s="1">
        <f t="shared" si="30"/>
        <v>25</v>
      </c>
      <c r="B157" s="5">
        <v>2.29</v>
      </c>
      <c r="C157" s="5">
        <v>5.96</v>
      </c>
      <c r="D157" s="5">
        <v>11.14</v>
      </c>
      <c r="E157" s="6">
        <v>8.1600000000000006E-2</v>
      </c>
      <c r="F157" s="6">
        <f t="shared" si="28"/>
        <v>0.42905520151092974</v>
      </c>
      <c r="H157" s="1">
        <f t="shared" si="31"/>
        <v>25</v>
      </c>
      <c r="I157" s="5">
        <v>4.22</v>
      </c>
      <c r="J157" s="5">
        <v>5.83</v>
      </c>
      <c r="K157" s="5">
        <v>8.76</v>
      </c>
      <c r="L157" s="6">
        <v>0.13600000000000001</v>
      </c>
      <c r="M157" s="6">
        <f t="shared" si="32"/>
        <v>0.70385642662787007</v>
      </c>
    </row>
    <row r="158" spans="1:13">
      <c r="A158" s="3" t="s">
        <v>9</v>
      </c>
      <c r="B158" s="8">
        <f>AVERAGE(B133:B147)</f>
        <v>2.4279999999999995</v>
      </c>
      <c r="C158" s="8">
        <f>AVERAGE(C133:C147)</f>
        <v>6.3746666666666671</v>
      </c>
      <c r="D158" s="8">
        <f>AVERAGE(D133:D147)</f>
        <v>9.8693333333333317</v>
      </c>
      <c r="E158" s="7">
        <f>AVERAGE(E133:E147)</f>
        <v>8.0846666666666664E-2</v>
      </c>
      <c r="F158" s="7">
        <f>AVERAGE(F133:F147)</f>
        <v>0.46001369364320521</v>
      </c>
      <c r="H158" s="3" t="s">
        <v>9</v>
      </c>
      <c r="I158" s="8">
        <f>AVERAGE(I133:I147)</f>
        <v>4.3373333333333335</v>
      </c>
      <c r="J158" s="8">
        <f>AVERAGE(J133:J147)</f>
        <v>5.9066666666666672</v>
      </c>
      <c r="K158" s="8">
        <f>AVERAGE(K133:K147)</f>
        <v>7.9093333333333344</v>
      </c>
      <c r="L158" s="7">
        <f>AVERAGE(M133:M147)</f>
        <v>0.74299084943625016</v>
      </c>
      <c r="M158" s="7">
        <f>AVERAGE(L133:L147)</f>
        <v>0.12875333333333333</v>
      </c>
    </row>
    <row r="162" spans="1:13">
      <c r="E162" s="25" t="s">
        <v>26</v>
      </c>
      <c r="F162" s="25"/>
      <c r="G162" s="25"/>
      <c r="H162" s="25"/>
      <c r="I162" s="25"/>
    </row>
    <row r="163" spans="1:13">
      <c r="A163" s="25" t="s">
        <v>36</v>
      </c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</row>
    <row r="164" spans="1:13">
      <c r="B164" s="26" t="s">
        <v>33</v>
      </c>
      <c r="C164" s="26"/>
      <c r="D164" s="26"/>
      <c r="E164" s="26"/>
      <c r="I164" s="26" t="s">
        <v>34</v>
      </c>
      <c r="J164" s="26"/>
      <c r="K164" s="26"/>
      <c r="L164" s="26"/>
    </row>
    <row r="165" spans="1:13">
      <c r="A165" s="3" t="s">
        <v>3</v>
      </c>
      <c r="B165" s="3" t="s">
        <v>4</v>
      </c>
      <c r="C165" s="3" t="s">
        <v>5</v>
      </c>
      <c r="D165" s="3" t="s">
        <v>6</v>
      </c>
      <c r="E165" s="3" t="s">
        <v>7</v>
      </c>
      <c r="F165" s="3" t="s">
        <v>8</v>
      </c>
      <c r="H165" s="3" t="s">
        <v>3</v>
      </c>
      <c r="I165" s="3" t="s">
        <v>4</v>
      </c>
      <c r="J165" s="3" t="s">
        <v>5</v>
      </c>
      <c r="K165" s="3" t="s">
        <v>6</v>
      </c>
      <c r="L165" s="3" t="s">
        <v>7</v>
      </c>
      <c r="M165" s="3" t="s">
        <v>8</v>
      </c>
    </row>
    <row r="166" spans="1:13">
      <c r="A166" s="1">
        <v>1</v>
      </c>
      <c r="B166" s="5">
        <v>2.1</v>
      </c>
      <c r="C166" s="5">
        <v>4.95</v>
      </c>
      <c r="D166" s="5">
        <v>9.44</v>
      </c>
      <c r="E166" s="6">
        <v>5.0500000000000003E-2</v>
      </c>
      <c r="F166" s="6">
        <f>(B166^2/(C166*D166))^(1/3)</f>
        <v>0.45528897316894557</v>
      </c>
      <c r="H166" s="1">
        <v>1</v>
      </c>
      <c r="I166" s="5">
        <v>2.17</v>
      </c>
      <c r="J166" s="5">
        <v>6.11</v>
      </c>
      <c r="K166" s="5">
        <v>8.66</v>
      </c>
      <c r="L166" s="6">
        <v>5.8500000000000003E-2</v>
      </c>
      <c r="M166" s="6">
        <f>(I166^2/(J166*K166))^(1/3)</f>
        <v>0.44646435217008612</v>
      </c>
    </row>
    <row r="167" spans="1:13">
      <c r="A167" s="1">
        <f>A166 + 1</f>
        <v>2</v>
      </c>
      <c r="B167" s="5">
        <v>2.11</v>
      </c>
      <c r="C167" s="5">
        <v>4.6100000000000003</v>
      </c>
      <c r="D167" s="5">
        <v>7.31</v>
      </c>
      <c r="E167" s="6">
        <v>4.6199999999999998E-2</v>
      </c>
      <c r="F167" s="6">
        <f t="shared" ref="F167:F190" si="33">(B167^2/(C167*D167))^(1/3)</f>
        <v>0.50930999926662102</v>
      </c>
      <c r="H167" s="1">
        <f>H166 + 1</f>
        <v>2</v>
      </c>
      <c r="I167" s="5">
        <v>2.73</v>
      </c>
      <c r="J167" s="5">
        <v>3.29</v>
      </c>
      <c r="K167" s="5">
        <v>7.2</v>
      </c>
      <c r="L167" s="6">
        <v>6.3600000000000004E-2</v>
      </c>
      <c r="M167" s="6">
        <f t="shared" ref="M167:M180" si="34">(I167^2/(J167*K167))^(1/3)</f>
        <v>0.68014101716014363</v>
      </c>
    </row>
    <row r="168" spans="1:13">
      <c r="A168" s="1">
        <f t="shared" ref="A168:A190" si="35">A167 + 1</f>
        <v>3</v>
      </c>
      <c r="B168" s="5">
        <v>2.15</v>
      </c>
      <c r="C168" s="5">
        <v>4.71</v>
      </c>
      <c r="D168" s="5">
        <v>9.24</v>
      </c>
      <c r="E168" s="6">
        <v>3.8600000000000002E-2</v>
      </c>
      <c r="F168" s="6">
        <f t="shared" si="33"/>
        <v>0.47358144737296276</v>
      </c>
      <c r="H168" s="1">
        <f t="shared" ref="H168:H190" si="36">H167 + 1</f>
        <v>3</v>
      </c>
      <c r="I168" s="5">
        <v>3.78</v>
      </c>
      <c r="J168" s="5">
        <v>5.08</v>
      </c>
      <c r="K168" s="5">
        <v>7.76</v>
      </c>
      <c r="L168" s="6">
        <v>6.9199999999999998E-2</v>
      </c>
      <c r="M168" s="6">
        <f t="shared" si="34"/>
        <v>0.71299429582816809</v>
      </c>
    </row>
    <row r="169" spans="1:13">
      <c r="A169" s="1">
        <f t="shared" si="35"/>
        <v>4</v>
      </c>
      <c r="B169" s="5">
        <v>2.16</v>
      </c>
      <c r="C169" s="5">
        <v>4.0599999999999996</v>
      </c>
      <c r="D169" s="5">
        <v>8.9499999999999993</v>
      </c>
      <c r="E169" s="6">
        <v>4.9799999999999997E-2</v>
      </c>
      <c r="F169" s="6">
        <f t="shared" si="33"/>
        <v>0.50449028931890361</v>
      </c>
      <c r="H169" s="1">
        <f t="shared" si="36"/>
        <v>4</v>
      </c>
      <c r="I169" s="5">
        <v>3.15</v>
      </c>
      <c r="J169" s="5">
        <v>5.5</v>
      </c>
      <c r="K169" s="5">
        <v>8.9700000000000006</v>
      </c>
      <c r="L169" s="6">
        <v>8.8999999999999996E-2</v>
      </c>
      <c r="M169" s="6">
        <f t="shared" si="34"/>
        <v>0.58589796784064874</v>
      </c>
    </row>
    <row r="170" spans="1:13">
      <c r="A170" s="1">
        <f t="shared" si="35"/>
        <v>5</v>
      </c>
      <c r="B170" s="5">
        <v>2.23</v>
      </c>
      <c r="C170" s="5">
        <v>4.08</v>
      </c>
      <c r="D170" s="5">
        <v>9.83</v>
      </c>
      <c r="E170" s="6">
        <v>5.2600000000000001E-2</v>
      </c>
      <c r="F170" s="6">
        <f t="shared" si="33"/>
        <v>0.4986532819209345</v>
      </c>
      <c r="H170" s="1">
        <f t="shared" si="36"/>
        <v>5</v>
      </c>
      <c r="I170" s="5">
        <v>3.63</v>
      </c>
      <c r="J170" s="5">
        <v>4.3099999999999996</v>
      </c>
      <c r="K170" s="5">
        <v>7.95</v>
      </c>
      <c r="L170" s="6">
        <v>9.1899999999999996E-2</v>
      </c>
      <c r="M170" s="6">
        <f t="shared" si="34"/>
        <v>0.72720404133511152</v>
      </c>
    </row>
    <row r="171" spans="1:13">
      <c r="A171" s="1">
        <f t="shared" si="35"/>
        <v>6</v>
      </c>
      <c r="B171" s="5">
        <v>2.44</v>
      </c>
      <c r="C171" s="5">
        <v>4.78</v>
      </c>
      <c r="D171" s="5">
        <v>11.11</v>
      </c>
      <c r="E171" s="6">
        <v>3.44E-2</v>
      </c>
      <c r="F171" s="6">
        <f t="shared" si="33"/>
        <v>0.482183745016318</v>
      </c>
      <c r="H171" s="1">
        <f t="shared" si="36"/>
        <v>6</v>
      </c>
      <c r="I171" s="5">
        <v>3.02</v>
      </c>
      <c r="J171" s="5">
        <v>4.01</v>
      </c>
      <c r="K171" s="5">
        <v>6.21</v>
      </c>
      <c r="L171" s="6">
        <v>5.6000000000000001E-2</v>
      </c>
      <c r="M171" s="6">
        <f t="shared" si="34"/>
        <v>0.71547199241196069</v>
      </c>
    </row>
    <row r="172" spans="1:13">
      <c r="A172" s="1">
        <f t="shared" si="35"/>
        <v>7</v>
      </c>
      <c r="B172" s="5">
        <v>2.19</v>
      </c>
      <c r="C172" s="5">
        <v>4.1100000000000003</v>
      </c>
      <c r="D172" s="5">
        <v>6.98</v>
      </c>
      <c r="E172" s="6">
        <v>3.5900000000000001E-2</v>
      </c>
      <c r="F172" s="6">
        <f t="shared" si="33"/>
        <v>0.55088844331986286</v>
      </c>
      <c r="H172" s="1">
        <f t="shared" si="36"/>
        <v>7</v>
      </c>
      <c r="I172" s="5">
        <v>3.61</v>
      </c>
      <c r="J172" s="5">
        <v>3.91</v>
      </c>
      <c r="K172" s="5">
        <v>6.77</v>
      </c>
      <c r="L172" s="6">
        <v>6.6900000000000001E-2</v>
      </c>
      <c r="M172" s="6">
        <f t="shared" si="34"/>
        <v>0.78961670188972743</v>
      </c>
    </row>
    <row r="173" spans="1:13">
      <c r="A173" s="1">
        <f t="shared" si="35"/>
        <v>8</v>
      </c>
      <c r="B173" s="5">
        <v>2.27</v>
      </c>
      <c r="C173" s="5">
        <v>3.79</v>
      </c>
      <c r="D173" s="5">
        <v>6.9</v>
      </c>
      <c r="E173" s="6">
        <v>3.2000000000000001E-2</v>
      </c>
      <c r="F173" s="6">
        <f t="shared" si="33"/>
        <v>0.58190819209389288</v>
      </c>
      <c r="H173" s="1">
        <f t="shared" si="36"/>
        <v>8</v>
      </c>
      <c r="I173" s="5">
        <v>3.2</v>
      </c>
      <c r="J173" s="5">
        <v>4.26</v>
      </c>
      <c r="K173" s="5">
        <v>5.98</v>
      </c>
      <c r="L173" s="6">
        <v>4.5499999999999999E-2</v>
      </c>
      <c r="M173" s="6">
        <f t="shared" si="34"/>
        <v>0.73801137869780298</v>
      </c>
    </row>
    <row r="174" spans="1:13">
      <c r="A174" s="1">
        <f t="shared" si="35"/>
        <v>9</v>
      </c>
      <c r="B174" s="5">
        <v>2.16</v>
      </c>
      <c r="C174" s="5">
        <v>5.23</v>
      </c>
      <c r="D174" s="5">
        <v>9.02</v>
      </c>
      <c r="E174" s="6">
        <v>3.3300000000000003E-2</v>
      </c>
      <c r="F174" s="6">
        <f t="shared" si="33"/>
        <v>0.46245174793888499</v>
      </c>
      <c r="H174" s="1">
        <f t="shared" si="36"/>
        <v>9</v>
      </c>
      <c r="I174" s="5">
        <v>3.87</v>
      </c>
      <c r="J174" s="5">
        <v>4.49</v>
      </c>
      <c r="K174" s="5">
        <v>6.96</v>
      </c>
      <c r="L174" s="6">
        <v>7.6399999999999996E-2</v>
      </c>
      <c r="M174" s="6">
        <f t="shared" si="34"/>
        <v>0.78256805638089233</v>
      </c>
    </row>
    <row r="175" spans="1:13">
      <c r="A175" s="1">
        <f t="shared" si="35"/>
        <v>10</v>
      </c>
      <c r="B175" s="5">
        <v>2.0699999999999998</v>
      </c>
      <c r="C175" s="5">
        <v>3.57</v>
      </c>
      <c r="D175" s="5">
        <v>7.85</v>
      </c>
      <c r="E175" s="6">
        <v>2.8199999999999999E-2</v>
      </c>
      <c r="F175" s="6">
        <f t="shared" si="33"/>
        <v>0.53472965850180965</v>
      </c>
      <c r="H175" s="1">
        <f t="shared" si="36"/>
        <v>10</v>
      </c>
      <c r="I175" s="5">
        <v>2.79</v>
      </c>
      <c r="J175" s="5">
        <v>4</v>
      </c>
      <c r="K175" s="5">
        <v>7.81</v>
      </c>
      <c r="L175" s="6">
        <v>5.5E-2</v>
      </c>
      <c r="M175" s="6">
        <f t="shared" si="34"/>
        <v>0.62926338252689684</v>
      </c>
    </row>
    <row r="176" spans="1:13">
      <c r="A176" s="1">
        <f t="shared" si="35"/>
        <v>11</v>
      </c>
      <c r="B176" s="5">
        <v>2.37</v>
      </c>
      <c r="C176" s="5">
        <v>4.37</v>
      </c>
      <c r="D176" s="5">
        <v>7.76</v>
      </c>
      <c r="E176" s="6">
        <v>4.2799999999999998E-2</v>
      </c>
      <c r="F176" s="6">
        <f t="shared" si="33"/>
        <v>0.54918396034596884</v>
      </c>
      <c r="H176" s="1">
        <f t="shared" si="36"/>
        <v>11</v>
      </c>
      <c r="I176" s="5">
        <v>3.16</v>
      </c>
      <c r="J176" s="5">
        <v>3.79</v>
      </c>
      <c r="K176" s="5">
        <v>5.52</v>
      </c>
      <c r="L176" s="6">
        <v>3.7999999999999999E-2</v>
      </c>
      <c r="M176" s="6">
        <f t="shared" si="34"/>
        <v>0.78150535672573784</v>
      </c>
    </row>
    <row r="177" spans="1:13">
      <c r="A177" s="1">
        <f t="shared" si="35"/>
        <v>12</v>
      </c>
      <c r="B177" s="5">
        <v>1.19</v>
      </c>
      <c r="C177" s="5">
        <v>2.78</v>
      </c>
      <c r="D177" s="5">
        <v>11.33</v>
      </c>
      <c r="E177" s="6">
        <v>3.0800000000000001E-2</v>
      </c>
      <c r="F177" s="6">
        <f t="shared" si="33"/>
        <v>0.35558197598554298</v>
      </c>
      <c r="H177" s="1">
        <f t="shared" si="36"/>
        <v>12</v>
      </c>
      <c r="I177" s="5">
        <v>2.92</v>
      </c>
      <c r="J177" s="5">
        <v>3.42</v>
      </c>
      <c r="K177" s="5">
        <v>5.76</v>
      </c>
      <c r="L177" s="6">
        <v>4.3799999999999999E-2</v>
      </c>
      <c r="M177" s="6">
        <f t="shared" si="34"/>
        <v>0.75643631648587606</v>
      </c>
    </row>
    <row r="178" spans="1:13">
      <c r="A178" s="1">
        <f t="shared" si="35"/>
        <v>13</v>
      </c>
      <c r="B178" s="5">
        <v>2.21</v>
      </c>
      <c r="C178" s="5">
        <v>4.45</v>
      </c>
      <c r="D178" s="5">
        <v>7.17</v>
      </c>
      <c r="E178" s="6">
        <v>3.6400000000000002E-2</v>
      </c>
      <c r="F178" s="6">
        <f t="shared" si="33"/>
        <v>0.53493596014727862</v>
      </c>
      <c r="H178" s="1">
        <f t="shared" si="36"/>
        <v>13</v>
      </c>
      <c r="I178" s="5">
        <v>3.11</v>
      </c>
      <c r="J178" s="5">
        <v>3.9</v>
      </c>
      <c r="K178" s="5">
        <v>5.21</v>
      </c>
      <c r="L178" s="6">
        <v>4.3299999999999998E-2</v>
      </c>
      <c r="M178" s="6">
        <f t="shared" si="34"/>
        <v>0.78079942094102117</v>
      </c>
    </row>
    <row r="179" spans="1:13">
      <c r="A179" s="1">
        <f t="shared" si="35"/>
        <v>14</v>
      </c>
      <c r="B179" s="5">
        <v>3.22</v>
      </c>
      <c r="C179" s="5">
        <v>4.92</v>
      </c>
      <c r="D179" s="5">
        <v>9.73</v>
      </c>
      <c r="E179" s="6">
        <v>5.5300000000000002E-2</v>
      </c>
      <c r="F179" s="6">
        <f t="shared" si="33"/>
        <v>0.60054367891529836</v>
      </c>
      <c r="H179" s="1">
        <f t="shared" si="36"/>
        <v>14</v>
      </c>
      <c r="I179" s="5">
        <v>4</v>
      </c>
      <c r="J179" s="5">
        <v>4.4000000000000004</v>
      </c>
      <c r="K179" s="5">
        <v>10.62</v>
      </c>
      <c r="L179" s="6">
        <v>6.8199999999999997E-2</v>
      </c>
      <c r="M179" s="6">
        <f t="shared" si="34"/>
        <v>0.6995964490760731</v>
      </c>
    </row>
    <row r="180" spans="1:13">
      <c r="A180" s="1">
        <f t="shared" si="35"/>
        <v>15</v>
      </c>
      <c r="B180" s="5">
        <v>2.77</v>
      </c>
      <c r="C180" s="5">
        <v>3.66</v>
      </c>
      <c r="D180" s="5">
        <v>9.81</v>
      </c>
      <c r="E180" s="6">
        <v>6.5199999999999994E-2</v>
      </c>
      <c r="F180" s="6">
        <f t="shared" si="33"/>
        <v>0.59786502560563126</v>
      </c>
      <c r="H180" s="1">
        <f t="shared" si="36"/>
        <v>15</v>
      </c>
      <c r="I180" s="5">
        <v>3.48</v>
      </c>
      <c r="J180" s="5">
        <v>4.17</v>
      </c>
      <c r="K180" s="5">
        <v>7.55</v>
      </c>
      <c r="L180" s="6">
        <v>8.0999999999999996E-3</v>
      </c>
      <c r="M180" s="6">
        <f>(I180^2/(J180*K180))^(1/3)</f>
        <v>0.72726355929578035</v>
      </c>
    </row>
    <row r="181" spans="1:13">
      <c r="A181" s="1">
        <f t="shared" si="35"/>
        <v>16</v>
      </c>
      <c r="B181" s="5">
        <v>2.85</v>
      </c>
      <c r="C181" s="5">
        <v>3.47</v>
      </c>
      <c r="D181" s="5">
        <v>7.36</v>
      </c>
      <c r="E181" s="6">
        <v>3.3799999999999997E-2</v>
      </c>
      <c r="F181" s="6">
        <f t="shared" si="33"/>
        <v>0.68259139688012205</v>
      </c>
      <c r="H181" s="1">
        <f t="shared" si="36"/>
        <v>16</v>
      </c>
      <c r="I181" s="5">
        <v>3.2</v>
      </c>
      <c r="J181" s="5">
        <v>3.87</v>
      </c>
      <c r="K181" s="5">
        <v>5.48</v>
      </c>
      <c r="L181">
        <v>4.2900000000000001E-2</v>
      </c>
      <c r="M181" s="6">
        <f t="shared" ref="M181:M190" si="37">(I181^2/(J181*K181))^(1/3)</f>
        <v>0.78451781672996268</v>
      </c>
    </row>
    <row r="182" spans="1:13">
      <c r="A182" s="1">
        <f t="shared" si="35"/>
        <v>17</v>
      </c>
      <c r="B182" s="5">
        <v>2.63</v>
      </c>
      <c r="C182" s="5">
        <v>4.24</v>
      </c>
      <c r="D182" s="5">
        <v>6.7</v>
      </c>
      <c r="E182" s="6">
        <v>4.0500000000000001E-2</v>
      </c>
      <c r="F182" s="6">
        <f t="shared" si="33"/>
        <v>0.62443937335803379</v>
      </c>
      <c r="H182" s="1">
        <f t="shared" si="36"/>
        <v>17</v>
      </c>
      <c r="I182" s="5">
        <v>3.53</v>
      </c>
      <c r="J182" s="5">
        <v>3.99</v>
      </c>
      <c r="K182" s="5">
        <v>6.53</v>
      </c>
      <c r="L182">
        <v>6.2300000000000001E-2</v>
      </c>
      <c r="M182" s="6">
        <f t="shared" si="37"/>
        <v>0.78202585413218861</v>
      </c>
    </row>
    <row r="183" spans="1:13">
      <c r="A183" s="1">
        <f t="shared" si="35"/>
        <v>18</v>
      </c>
      <c r="B183" s="5">
        <v>2.06</v>
      </c>
      <c r="C183" s="5">
        <v>4.42</v>
      </c>
      <c r="D183" s="5">
        <v>11.54</v>
      </c>
      <c r="E183" s="6">
        <v>8.1299999999999997E-2</v>
      </c>
      <c r="F183" s="6">
        <f t="shared" si="33"/>
        <v>0.436551469227414</v>
      </c>
      <c r="H183" s="1">
        <f t="shared" si="36"/>
        <v>18</v>
      </c>
      <c r="I183" s="5">
        <v>3.38</v>
      </c>
      <c r="J183" s="5">
        <v>3.85</v>
      </c>
      <c r="K183" s="5">
        <v>7.94</v>
      </c>
      <c r="L183">
        <v>7.6600000000000001E-2</v>
      </c>
      <c r="M183" s="6">
        <f t="shared" si="37"/>
        <v>0.72030659238181505</v>
      </c>
    </row>
    <row r="184" spans="1:13">
      <c r="A184" s="1">
        <f t="shared" si="35"/>
        <v>19</v>
      </c>
      <c r="B184" s="5">
        <v>2.2599999999999998</v>
      </c>
      <c r="C184" s="5">
        <v>4.53</v>
      </c>
      <c r="D184" s="5">
        <v>8.6999999999999993</v>
      </c>
      <c r="E184" s="6">
        <v>5.1999999999999998E-2</v>
      </c>
      <c r="F184" s="6">
        <f t="shared" si="33"/>
        <v>0.50605743265629821</v>
      </c>
      <c r="H184" s="1">
        <f t="shared" si="36"/>
        <v>19</v>
      </c>
      <c r="I184" s="5">
        <v>3.76</v>
      </c>
      <c r="J184" s="5">
        <v>4.17</v>
      </c>
      <c r="K184" s="5">
        <v>5.8</v>
      </c>
      <c r="L184">
        <v>4.7899999999999998E-2</v>
      </c>
      <c r="M184" s="6">
        <f t="shared" si="37"/>
        <v>0.83612372576631977</v>
      </c>
    </row>
    <row r="185" spans="1:13">
      <c r="A185" s="1">
        <f t="shared" si="35"/>
        <v>20</v>
      </c>
      <c r="B185" s="5">
        <v>2.1</v>
      </c>
      <c r="C185" s="5">
        <v>4.46</v>
      </c>
      <c r="D185" s="5">
        <v>7.92</v>
      </c>
      <c r="E185" s="6">
        <v>4.3299999999999998E-2</v>
      </c>
      <c r="F185" s="6">
        <f t="shared" si="33"/>
        <v>0.49979608480609583</v>
      </c>
      <c r="H185" s="1">
        <f t="shared" si="36"/>
        <v>20</v>
      </c>
      <c r="I185" s="5">
        <v>3.89</v>
      </c>
      <c r="J185" s="5">
        <v>5.84</v>
      </c>
      <c r="K185" s="5">
        <v>7.15</v>
      </c>
      <c r="L185" s="6">
        <v>6.25E-2</v>
      </c>
      <c r="M185" s="6">
        <f t="shared" si="37"/>
        <v>0.71295169289624405</v>
      </c>
    </row>
    <row r="186" spans="1:13">
      <c r="A186" s="1">
        <f t="shared" si="35"/>
        <v>21</v>
      </c>
      <c r="B186" s="5">
        <v>2.58</v>
      </c>
      <c r="C186" s="5">
        <v>3.68</v>
      </c>
      <c r="D186" s="5">
        <v>13.89</v>
      </c>
      <c r="E186" s="6">
        <v>7.7200000000000005E-2</v>
      </c>
      <c r="F186" s="6">
        <f t="shared" si="33"/>
        <v>0.50686983856163392</v>
      </c>
      <c r="H186" s="1">
        <f t="shared" si="36"/>
        <v>21</v>
      </c>
      <c r="I186" s="5">
        <v>2.9</v>
      </c>
      <c r="J186" s="5">
        <v>4.2</v>
      </c>
      <c r="K186" s="5">
        <v>7.88</v>
      </c>
      <c r="L186" s="6">
        <v>6.5000000000000002E-2</v>
      </c>
      <c r="M186" s="6">
        <f t="shared" si="37"/>
        <v>0.63339334499797451</v>
      </c>
    </row>
    <row r="187" spans="1:13">
      <c r="A187" s="1">
        <f t="shared" si="35"/>
        <v>22</v>
      </c>
      <c r="B187" s="5">
        <v>2.5299999999999998</v>
      </c>
      <c r="C187" s="5">
        <v>2.66</v>
      </c>
      <c r="D187" s="5">
        <v>8.83</v>
      </c>
      <c r="E187" s="6">
        <v>2.8199999999999999E-2</v>
      </c>
      <c r="F187" s="6">
        <f t="shared" si="33"/>
        <v>0.64833514928782388</v>
      </c>
      <c r="H187" s="1">
        <f t="shared" si="36"/>
        <v>22</v>
      </c>
      <c r="I187" s="5">
        <v>3.23</v>
      </c>
      <c r="J187" s="5">
        <v>4.07</v>
      </c>
      <c r="K187" s="5">
        <v>9.58</v>
      </c>
      <c r="L187" s="6">
        <v>7.5499999999999998E-2</v>
      </c>
      <c r="M187" s="6">
        <f t="shared" si="37"/>
        <v>0.64438938167927984</v>
      </c>
    </row>
    <row r="188" spans="1:13">
      <c r="A188" s="1">
        <f t="shared" si="35"/>
        <v>23</v>
      </c>
      <c r="B188" s="5">
        <v>3.18</v>
      </c>
      <c r="C188" s="5">
        <v>3.6</v>
      </c>
      <c r="D188" s="5">
        <v>6.04</v>
      </c>
      <c r="E188" s="6">
        <v>4.0300000000000002E-2</v>
      </c>
      <c r="F188" s="6">
        <f t="shared" si="33"/>
        <v>0.77476786674629272</v>
      </c>
      <c r="H188" s="1">
        <f t="shared" si="36"/>
        <v>23</v>
      </c>
      <c r="I188" s="5">
        <v>2.4300000000000002</v>
      </c>
      <c r="J188" s="5">
        <v>3.3</v>
      </c>
      <c r="K188" s="5">
        <v>4.8</v>
      </c>
      <c r="L188" s="6">
        <v>2.3199999999999998E-2</v>
      </c>
      <c r="M188" s="6">
        <f t="shared" si="37"/>
        <v>0.71970158087646874</v>
      </c>
    </row>
    <row r="189" spans="1:13">
      <c r="A189" s="1">
        <f t="shared" si="35"/>
        <v>24</v>
      </c>
      <c r="B189" s="5">
        <v>2.94</v>
      </c>
      <c r="C189" s="5">
        <v>3</v>
      </c>
      <c r="D189" s="5">
        <v>8.3000000000000007</v>
      </c>
      <c r="E189" s="6">
        <v>2.8799999999999999E-2</v>
      </c>
      <c r="F189" s="6">
        <f t="shared" si="33"/>
        <v>0.702800029807647</v>
      </c>
      <c r="H189" s="1">
        <f t="shared" si="36"/>
        <v>24</v>
      </c>
      <c r="I189" s="5">
        <v>2.66</v>
      </c>
      <c r="J189" s="5">
        <v>4.1900000000000004</v>
      </c>
      <c r="K189" s="5">
        <v>6.31</v>
      </c>
      <c r="L189" s="6">
        <v>4.6699999999999998E-2</v>
      </c>
      <c r="M189" s="6">
        <f t="shared" si="37"/>
        <v>0.64442636039518864</v>
      </c>
    </row>
    <row r="190" spans="1:13">
      <c r="A190" s="1">
        <f t="shared" si="35"/>
        <v>25</v>
      </c>
      <c r="B190" s="5">
        <v>2.16</v>
      </c>
      <c r="C190" s="5">
        <v>4.96</v>
      </c>
      <c r="D190" s="5">
        <v>9.2799999999999994</v>
      </c>
      <c r="E190" s="6">
        <v>4.9700000000000001E-2</v>
      </c>
      <c r="F190" s="6">
        <f t="shared" si="33"/>
        <v>0.46625762790144493</v>
      </c>
      <c r="H190" s="1">
        <f t="shared" si="36"/>
        <v>25</v>
      </c>
      <c r="I190" s="5">
        <v>3.29</v>
      </c>
      <c r="J190" s="5">
        <v>3.9</v>
      </c>
      <c r="K190" s="5">
        <v>7.33</v>
      </c>
      <c r="L190" s="6">
        <v>6.4000000000000001E-2</v>
      </c>
      <c r="M190" s="6">
        <f t="shared" si="37"/>
        <v>0.72344869584209015</v>
      </c>
    </row>
    <row r="191" spans="1:13">
      <c r="A191" s="3" t="s">
        <v>9</v>
      </c>
      <c r="B191" s="8">
        <f>AVERAGE(B166:B180)</f>
        <v>2.2426666666666666</v>
      </c>
      <c r="C191" s="8">
        <f>AVERAGE(C166:C180)</f>
        <v>4.2713333333333328</v>
      </c>
      <c r="D191" s="8">
        <f>AVERAGE(D166:D180)</f>
        <v>8.8286666666666669</v>
      </c>
      <c r="E191" s="7">
        <f>AVERAGE(E166:E180)</f>
        <v>4.2133333333333335E-2</v>
      </c>
      <c r="F191" s="7">
        <f>AVERAGE(F166:F180)</f>
        <v>0.51277309192792375</v>
      </c>
      <c r="H191" s="3" t="s">
        <v>9</v>
      </c>
      <c r="I191" s="8">
        <f>AVERAGE(I166:I180)</f>
        <v>3.241333333333333</v>
      </c>
      <c r="J191" s="8">
        <f>AVERAGE(J166:J180)</f>
        <v>4.3093333333333321</v>
      </c>
      <c r="K191" s="8">
        <f>AVERAGE(K166:K180)</f>
        <v>7.2619999999999996</v>
      </c>
      <c r="L191" s="7">
        <f>AVERAGE(M166:M180)</f>
        <v>0.70354895258439509</v>
      </c>
      <c r="M191" s="7">
        <f>AVERAGE(L166:L180)</f>
        <v>5.822666666666667E-2</v>
      </c>
    </row>
  </sheetData>
  <mergeCells count="30">
    <mergeCell ref="O3:S3"/>
    <mergeCell ref="A1:S1"/>
    <mergeCell ref="E70:I70"/>
    <mergeCell ref="A71:M71"/>
    <mergeCell ref="B72:E72"/>
    <mergeCell ref="I72:L72"/>
    <mergeCell ref="B3:E3"/>
    <mergeCell ref="I3:L3"/>
    <mergeCell ref="B49:E49"/>
    <mergeCell ref="I49:L49"/>
    <mergeCell ref="A48:M48"/>
    <mergeCell ref="E47:I47"/>
    <mergeCell ref="E24:I24"/>
    <mergeCell ref="A25:M25"/>
    <mergeCell ref="B26:E26"/>
    <mergeCell ref="I26:L26"/>
    <mergeCell ref="O4:P4"/>
    <mergeCell ref="R4:S4"/>
    <mergeCell ref="E162:I162"/>
    <mergeCell ref="A163:M163"/>
    <mergeCell ref="B164:E164"/>
    <mergeCell ref="I164:L164"/>
    <mergeCell ref="E97:I97"/>
    <mergeCell ref="A98:M98"/>
    <mergeCell ref="B99:E99"/>
    <mergeCell ref="I99:L99"/>
    <mergeCell ref="E129:I129"/>
    <mergeCell ref="A130:M130"/>
    <mergeCell ref="B131:E131"/>
    <mergeCell ref="I131:L131"/>
  </mergeCells>
  <pageMargins left="0.7" right="0.7" top="0.75" bottom="0.75" header="0.3" footer="0.3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9885-48DF-44DA-8163-9B34CB333DAE}">
  <sheetPr>
    <pageSetUpPr fitToPage="1"/>
  </sheetPr>
  <dimension ref="A1:AK97"/>
  <sheetViews>
    <sheetView topLeftCell="A20" workbookViewId="0">
      <selection activeCell="E79" sqref="E79"/>
    </sheetView>
  </sheetViews>
  <sheetFormatPr defaultRowHeight="15"/>
  <cols>
    <col min="23" max="23" width="9.28515625" bestFit="1" customWidth="1"/>
  </cols>
  <sheetData>
    <row r="1" spans="1:23" ht="63.75">
      <c r="A1" s="36" t="s">
        <v>37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3" spans="1:23">
      <c r="B3" s="26" t="s">
        <v>38</v>
      </c>
      <c r="C3" s="26"/>
      <c r="D3" s="26"/>
      <c r="E3" s="26"/>
      <c r="I3" s="26" t="s">
        <v>39</v>
      </c>
      <c r="J3" s="26"/>
      <c r="K3" s="26"/>
      <c r="L3" s="26"/>
      <c r="P3" s="26" t="s">
        <v>40</v>
      </c>
      <c r="Q3" s="26"/>
      <c r="R3" s="26"/>
      <c r="S3" s="26"/>
    </row>
    <row r="4" spans="1:2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8</v>
      </c>
      <c r="O4" s="3" t="s">
        <v>3</v>
      </c>
      <c r="P4" s="3" t="s">
        <v>4</v>
      </c>
      <c r="Q4" s="3" t="s">
        <v>5</v>
      </c>
      <c r="R4" s="3" t="s">
        <v>6</v>
      </c>
      <c r="S4" s="3" t="s">
        <v>7</v>
      </c>
      <c r="T4" s="3" t="s">
        <v>8</v>
      </c>
    </row>
    <row r="5" spans="1:23">
      <c r="A5" s="1">
        <v>1</v>
      </c>
      <c r="B5" s="5">
        <v>1.89</v>
      </c>
      <c r="C5" s="5">
        <v>3.73</v>
      </c>
      <c r="D5" s="5">
        <v>10.33</v>
      </c>
      <c r="E5" s="6">
        <v>4.8800000000000003E-2</v>
      </c>
      <c r="F5" s="6">
        <f>(B5^2/(C5*D5))^(1/3)</f>
        <v>0.45258985866075246</v>
      </c>
      <c r="H5" s="1">
        <v>1</v>
      </c>
      <c r="I5" s="5">
        <v>4.88</v>
      </c>
      <c r="J5" s="5">
        <v>5.53</v>
      </c>
      <c r="K5" s="5">
        <v>9.99</v>
      </c>
      <c r="L5" s="6">
        <v>0.26540000000000002</v>
      </c>
      <c r="M5" s="6">
        <f>(I5^2/(J5*K5))^(1/3)</f>
        <v>0.75541048443220882</v>
      </c>
      <c r="O5" s="1">
        <v>1</v>
      </c>
      <c r="P5" s="5">
        <v>5.13</v>
      </c>
      <c r="Q5" s="5">
        <v>6.83</v>
      </c>
      <c r="R5" s="5">
        <v>9.4600000000000009</v>
      </c>
      <c r="S5" s="6">
        <v>0.27929999999999999</v>
      </c>
      <c r="T5" s="6">
        <f>(P5^2/(Q5*R5))^(1/3)</f>
        <v>0.74126636889055775</v>
      </c>
    </row>
    <row r="6" spans="1:23">
      <c r="A6" s="1">
        <f>A5 + 1</f>
        <v>2</v>
      </c>
      <c r="B6" s="5">
        <v>2.5099999999999998</v>
      </c>
      <c r="C6" s="5">
        <v>4.5199999999999996</v>
      </c>
      <c r="D6" s="5">
        <v>5.6</v>
      </c>
      <c r="E6" s="6">
        <v>4.8899999999999999E-2</v>
      </c>
      <c r="F6" s="6">
        <f t="shared" ref="F6:F18" si="0">(B6^2/(C6*D6))^(1/3)</f>
        <v>0.6290333340143105</v>
      </c>
      <c r="H6" s="1">
        <f>H5 + 1</f>
        <v>2</v>
      </c>
      <c r="I6" s="5">
        <v>4.6399999999999997</v>
      </c>
      <c r="J6" s="5">
        <v>7.28</v>
      </c>
      <c r="K6" s="5">
        <v>11.01</v>
      </c>
      <c r="L6" s="6">
        <v>0.22509999999999999</v>
      </c>
      <c r="M6" s="6">
        <f t="shared" ref="M6:M18" si="1">(I6^2/(J6*K6))^(1/3)</f>
        <v>0.64521692978113454</v>
      </c>
      <c r="O6" s="1">
        <f>O5 + 1</f>
        <v>2</v>
      </c>
      <c r="P6" s="5">
        <v>5.17</v>
      </c>
      <c r="Q6" s="5">
        <v>8.98</v>
      </c>
      <c r="R6" s="5">
        <v>12.49</v>
      </c>
      <c r="S6" s="6">
        <v>0.38109999999999999</v>
      </c>
      <c r="T6" s="6">
        <f t="shared" ref="T6:T18" si="2">(P6^2/(Q6*R6))^(1/3)</f>
        <v>0.61998441203569521</v>
      </c>
    </row>
    <row r="7" spans="1:23">
      <c r="A7" s="1">
        <f t="shared" ref="A7:A29" si="3">A6 + 1</f>
        <v>3</v>
      </c>
      <c r="B7" s="5">
        <v>3.02</v>
      </c>
      <c r="C7" s="5">
        <v>4.2</v>
      </c>
      <c r="D7" s="5">
        <v>7.55</v>
      </c>
      <c r="E7" s="6">
        <v>5.1499999999999997E-2</v>
      </c>
      <c r="F7" s="6">
        <f t="shared" si="0"/>
        <v>0.66009414605794481</v>
      </c>
      <c r="H7" s="1">
        <f t="shared" ref="H7:H29" si="4">H6 + 1</f>
        <v>3</v>
      </c>
      <c r="I7" s="5">
        <v>3.43</v>
      </c>
      <c r="J7" s="5">
        <v>7.39</v>
      </c>
      <c r="K7" s="5">
        <v>11.25</v>
      </c>
      <c r="L7" s="6">
        <v>0.18440000000000001</v>
      </c>
      <c r="M7" s="6">
        <f t="shared" si="1"/>
        <v>0.52111122286848199</v>
      </c>
      <c r="O7" s="1">
        <f t="shared" ref="O7:O29" si="5">O6 + 1</f>
        <v>3</v>
      </c>
      <c r="P7" s="5">
        <v>5.45</v>
      </c>
      <c r="Q7" s="5">
        <v>8.83</v>
      </c>
      <c r="R7" s="5">
        <v>13.18</v>
      </c>
      <c r="S7" s="6">
        <v>0.65600000000000003</v>
      </c>
      <c r="T7" s="6">
        <f t="shared" si="2"/>
        <v>0.63431594749344533</v>
      </c>
    </row>
    <row r="8" spans="1:23">
      <c r="A8" s="1">
        <f t="shared" si="3"/>
        <v>4</v>
      </c>
      <c r="B8" s="5">
        <v>3.63</v>
      </c>
      <c r="C8" s="5">
        <v>3.68</v>
      </c>
      <c r="D8" s="5">
        <v>6.5</v>
      </c>
      <c r="E8" s="6">
        <v>5.7799999999999997E-2</v>
      </c>
      <c r="F8" s="6">
        <f t="shared" si="0"/>
        <v>0.81975490683139707</v>
      </c>
      <c r="H8" s="1">
        <f t="shared" si="4"/>
        <v>4</v>
      </c>
      <c r="I8" s="5">
        <v>3.46</v>
      </c>
      <c r="J8" s="5">
        <v>4.82</v>
      </c>
      <c r="K8" s="5">
        <v>8</v>
      </c>
      <c r="L8" s="6">
        <v>0.1056</v>
      </c>
      <c r="M8" s="6">
        <f t="shared" si="1"/>
        <v>0.67712948335181444</v>
      </c>
      <c r="O8" s="1">
        <f t="shared" si="5"/>
        <v>4</v>
      </c>
      <c r="P8" s="5">
        <v>5.59</v>
      </c>
      <c r="Q8" s="5">
        <v>7.44</v>
      </c>
      <c r="R8" s="5">
        <v>12.21</v>
      </c>
      <c r="S8" s="6">
        <v>0.39</v>
      </c>
      <c r="T8" s="6">
        <f t="shared" si="2"/>
        <v>0.70066701373181528</v>
      </c>
    </row>
    <row r="9" spans="1:23">
      <c r="A9" s="1">
        <f t="shared" si="3"/>
        <v>5</v>
      </c>
      <c r="B9" s="5">
        <v>3.2</v>
      </c>
      <c r="C9" s="5">
        <v>4.4800000000000004</v>
      </c>
      <c r="D9" s="5">
        <v>10.02</v>
      </c>
      <c r="E9" s="6">
        <v>8.3400000000000002E-2</v>
      </c>
      <c r="F9" s="6">
        <f t="shared" si="0"/>
        <v>0.61101434582913805</v>
      </c>
      <c r="H9" s="1">
        <f t="shared" si="4"/>
        <v>5</v>
      </c>
      <c r="I9" s="5">
        <v>2.4900000000000002</v>
      </c>
      <c r="J9" s="5">
        <v>5.28</v>
      </c>
      <c r="K9" s="5">
        <v>8.81</v>
      </c>
      <c r="L9" s="6">
        <v>7.46E-2</v>
      </c>
      <c r="M9" s="6">
        <f t="shared" si="1"/>
        <v>0.51081419154210639</v>
      </c>
      <c r="O9" s="1">
        <f t="shared" si="5"/>
        <v>5</v>
      </c>
      <c r="P9" s="5">
        <v>6.35</v>
      </c>
      <c r="Q9" s="5">
        <v>6.56</v>
      </c>
      <c r="R9" s="5">
        <v>12.57</v>
      </c>
      <c r="S9" s="6">
        <v>0.45029999999999998</v>
      </c>
      <c r="T9" s="6">
        <f t="shared" si="2"/>
        <v>0.78783652472182764</v>
      </c>
    </row>
    <row r="10" spans="1:23">
      <c r="A10" s="1">
        <f t="shared" si="3"/>
        <v>6</v>
      </c>
      <c r="B10" s="5">
        <v>2.27</v>
      </c>
      <c r="C10" s="5">
        <v>4.22</v>
      </c>
      <c r="D10" s="5">
        <v>7.35</v>
      </c>
      <c r="E10" s="6">
        <v>4.48E-2</v>
      </c>
      <c r="F10" s="6">
        <f t="shared" si="0"/>
        <v>0.5497315232781943</v>
      </c>
      <c r="H10" s="1">
        <f t="shared" si="4"/>
        <v>6</v>
      </c>
      <c r="I10" s="5">
        <v>4.16</v>
      </c>
      <c r="J10" s="5">
        <v>4.3600000000000003</v>
      </c>
      <c r="K10" s="5">
        <v>7.7</v>
      </c>
      <c r="L10" s="6">
        <v>7.7399999999999997E-2</v>
      </c>
      <c r="M10" s="6">
        <f t="shared" si="1"/>
        <v>0.80180694860181823</v>
      </c>
      <c r="O10" s="1">
        <f t="shared" si="5"/>
        <v>6</v>
      </c>
      <c r="P10" s="5">
        <v>3.48</v>
      </c>
      <c r="Q10" s="5">
        <v>9.3000000000000007</v>
      </c>
      <c r="R10" s="5">
        <v>12.98</v>
      </c>
      <c r="S10" s="6">
        <v>0.24410000000000001</v>
      </c>
      <c r="T10" s="6">
        <f t="shared" si="2"/>
        <v>0.46465821060438323</v>
      </c>
      <c r="W10" s="15"/>
    </row>
    <row r="11" spans="1:23">
      <c r="A11" s="1">
        <f t="shared" si="3"/>
        <v>7</v>
      </c>
      <c r="B11" s="5">
        <v>3.43</v>
      </c>
      <c r="C11" s="5">
        <v>4.17</v>
      </c>
      <c r="D11" s="5">
        <v>5.71</v>
      </c>
      <c r="E11" s="6">
        <v>5.11E-2</v>
      </c>
      <c r="F11" s="6">
        <f t="shared" si="0"/>
        <v>0.7905670187628081</v>
      </c>
      <c r="H11" s="1">
        <f t="shared" si="4"/>
        <v>7</v>
      </c>
      <c r="I11" s="5">
        <v>3.4</v>
      </c>
      <c r="J11" s="5">
        <v>5.9</v>
      </c>
      <c r="K11" s="5">
        <v>7.63</v>
      </c>
      <c r="L11" s="6">
        <v>0.1134</v>
      </c>
      <c r="M11" s="6">
        <f t="shared" si="1"/>
        <v>0.63561444946983214</v>
      </c>
      <c r="O11" s="1">
        <f t="shared" si="5"/>
        <v>7</v>
      </c>
      <c r="P11" s="5">
        <v>5.73</v>
      </c>
      <c r="Q11" s="5">
        <v>9.98</v>
      </c>
      <c r="R11" s="5">
        <v>13.47</v>
      </c>
      <c r="S11" s="6">
        <v>0.49680000000000002</v>
      </c>
      <c r="T11" s="6">
        <f t="shared" si="2"/>
        <v>0.62508206131278776</v>
      </c>
    </row>
    <row r="12" spans="1:23">
      <c r="A12" s="1">
        <f t="shared" si="3"/>
        <v>8</v>
      </c>
      <c r="B12" s="5">
        <v>3.08</v>
      </c>
      <c r="C12" s="5">
        <v>4.3099999999999996</v>
      </c>
      <c r="D12" s="5">
        <v>6.54</v>
      </c>
      <c r="E12" s="6">
        <v>6.3E-2</v>
      </c>
      <c r="F12" s="6">
        <f t="shared" si="0"/>
        <v>0.69558275255497426</v>
      </c>
      <c r="H12" s="1">
        <f t="shared" si="4"/>
        <v>8</v>
      </c>
      <c r="I12" s="5">
        <v>4.42</v>
      </c>
      <c r="J12" s="5">
        <v>4.76</v>
      </c>
      <c r="K12" s="5">
        <v>8.19</v>
      </c>
      <c r="L12" s="6">
        <v>0.13300000000000001</v>
      </c>
      <c r="M12" s="6">
        <f t="shared" si="1"/>
        <v>0.79429999790835892</v>
      </c>
      <c r="O12" s="1">
        <f t="shared" si="5"/>
        <v>8</v>
      </c>
      <c r="P12" s="5">
        <v>6.42</v>
      </c>
      <c r="Q12" s="5">
        <v>6.62</v>
      </c>
      <c r="R12" s="5">
        <v>11.92</v>
      </c>
      <c r="S12" s="6">
        <v>0.53990000000000005</v>
      </c>
      <c r="T12" s="6">
        <f t="shared" si="2"/>
        <v>0.80533876387651515</v>
      </c>
    </row>
    <row r="13" spans="1:23">
      <c r="A13" s="1">
        <f t="shared" si="3"/>
        <v>9</v>
      </c>
      <c r="B13" s="5">
        <v>2.6</v>
      </c>
      <c r="C13" s="5">
        <v>4.66</v>
      </c>
      <c r="D13" s="5">
        <v>7.47</v>
      </c>
      <c r="E13" s="6">
        <v>5.9400000000000001E-2</v>
      </c>
      <c r="F13" s="6">
        <f t="shared" si="0"/>
        <v>0.5790908806026267</v>
      </c>
      <c r="H13" s="1">
        <f t="shared" si="4"/>
        <v>9</v>
      </c>
      <c r="I13" s="5">
        <v>4.51</v>
      </c>
      <c r="J13" s="5">
        <v>5.54</v>
      </c>
      <c r="K13" s="5">
        <v>7.97</v>
      </c>
      <c r="L13" s="6">
        <v>0.1104</v>
      </c>
      <c r="M13" s="6">
        <f t="shared" si="1"/>
        <v>0.77231594138609672</v>
      </c>
      <c r="O13" s="1">
        <f t="shared" si="5"/>
        <v>9</v>
      </c>
      <c r="P13" s="5">
        <v>2.61</v>
      </c>
      <c r="Q13" s="5">
        <v>8.76</v>
      </c>
      <c r="R13" s="5">
        <v>10.6</v>
      </c>
      <c r="S13" s="6">
        <v>0.21029999999999999</v>
      </c>
      <c r="T13" s="6">
        <f t="shared" si="2"/>
        <v>0.41862357391536748</v>
      </c>
    </row>
    <row r="14" spans="1:23">
      <c r="A14" s="1">
        <f t="shared" si="3"/>
        <v>10</v>
      </c>
      <c r="B14" s="5">
        <v>2.99</v>
      </c>
      <c r="C14" s="5">
        <v>4.2699999999999996</v>
      </c>
      <c r="D14" s="5">
        <v>8.74</v>
      </c>
      <c r="E14" s="6">
        <v>6.3299999999999995E-2</v>
      </c>
      <c r="F14" s="6">
        <f t="shared" si="0"/>
        <v>0.62106114026151016</v>
      </c>
      <c r="H14" s="1">
        <f t="shared" si="4"/>
        <v>10</v>
      </c>
      <c r="I14" s="5">
        <v>4.45</v>
      </c>
      <c r="J14" s="5">
        <v>6.91</v>
      </c>
      <c r="K14" s="5">
        <v>9.61</v>
      </c>
      <c r="L14" s="6">
        <v>0.19420000000000001</v>
      </c>
      <c r="M14" s="6">
        <f t="shared" si="1"/>
        <v>0.66809701131626031</v>
      </c>
      <c r="O14" s="1">
        <f t="shared" si="5"/>
        <v>10</v>
      </c>
      <c r="P14" s="5">
        <v>4.6500000000000004</v>
      </c>
      <c r="Q14" s="5">
        <v>8.02</v>
      </c>
      <c r="R14" s="5">
        <v>11.58</v>
      </c>
      <c r="S14" s="6">
        <v>0.42270000000000002</v>
      </c>
      <c r="T14" s="6">
        <f t="shared" si="2"/>
        <v>0.61518772227822982</v>
      </c>
    </row>
    <row r="15" spans="1:23">
      <c r="A15" s="1">
        <f t="shared" si="3"/>
        <v>11</v>
      </c>
      <c r="B15" s="5">
        <v>2.4500000000000002</v>
      </c>
      <c r="C15" s="5">
        <v>3.96</v>
      </c>
      <c r="D15" s="5">
        <v>11.55</v>
      </c>
      <c r="E15" s="6">
        <v>5.5300000000000002E-2</v>
      </c>
      <c r="F15" s="6">
        <f t="shared" si="0"/>
        <v>0.50818089393090138</v>
      </c>
      <c r="H15" s="1">
        <f t="shared" si="4"/>
        <v>11</v>
      </c>
      <c r="I15" s="5">
        <v>5.54</v>
      </c>
      <c r="J15" s="5">
        <v>6.14</v>
      </c>
      <c r="K15" s="5">
        <v>14.35</v>
      </c>
      <c r="L15" s="6">
        <v>0.35599999999999998</v>
      </c>
      <c r="M15" s="6">
        <f t="shared" si="1"/>
        <v>0.70361175385576469</v>
      </c>
      <c r="O15" s="1">
        <f t="shared" si="5"/>
        <v>11</v>
      </c>
      <c r="P15" s="5">
        <v>6.82</v>
      </c>
      <c r="Q15" s="5">
        <v>7.52</v>
      </c>
      <c r="R15" s="5">
        <v>13.68</v>
      </c>
      <c r="S15" s="6">
        <v>0.6593</v>
      </c>
      <c r="T15" s="6">
        <f t="shared" si="2"/>
        <v>0.76751747159877937</v>
      </c>
    </row>
    <row r="16" spans="1:23">
      <c r="A16" s="1">
        <f t="shared" si="3"/>
        <v>12</v>
      </c>
      <c r="B16" s="5">
        <v>2.2200000000000002</v>
      </c>
      <c r="C16" s="5">
        <v>4.16</v>
      </c>
      <c r="D16" s="5">
        <v>5.92</v>
      </c>
      <c r="E16" s="6">
        <v>4.8099999999999997E-2</v>
      </c>
      <c r="F16" s="6">
        <f t="shared" si="0"/>
        <v>0.58492067232979128</v>
      </c>
      <c r="H16" s="1">
        <f t="shared" si="4"/>
        <v>12</v>
      </c>
      <c r="I16" s="5">
        <v>4.9000000000000004</v>
      </c>
      <c r="J16" s="5">
        <v>5.92</v>
      </c>
      <c r="K16" s="5">
        <v>8.57</v>
      </c>
      <c r="L16" s="6">
        <v>0.2283</v>
      </c>
      <c r="M16" s="6">
        <f t="shared" si="1"/>
        <v>0.77928540725717743</v>
      </c>
      <c r="O16" s="1">
        <f t="shared" si="5"/>
        <v>12</v>
      </c>
      <c r="P16" s="5">
        <v>4.8899999999999997</v>
      </c>
      <c r="Q16" s="5">
        <v>8.07</v>
      </c>
      <c r="R16" s="5">
        <v>15.39</v>
      </c>
      <c r="S16" s="6">
        <v>0.42899999999999999</v>
      </c>
      <c r="T16" s="6">
        <f t="shared" si="2"/>
        <v>0.57743333851810164</v>
      </c>
    </row>
    <row r="17" spans="1:20">
      <c r="A17" s="1">
        <f t="shared" si="3"/>
        <v>13</v>
      </c>
      <c r="B17" s="5">
        <v>2.64</v>
      </c>
      <c r="C17" s="5">
        <v>5.46</v>
      </c>
      <c r="D17" s="5">
        <v>6.31</v>
      </c>
      <c r="E17" s="6">
        <v>5.1799999999999999E-2</v>
      </c>
      <c r="F17" s="6">
        <f t="shared" si="0"/>
        <v>0.5870322360818131</v>
      </c>
      <c r="H17" s="1">
        <f t="shared" si="4"/>
        <v>13</v>
      </c>
      <c r="I17" s="5">
        <v>2.4900000000000002</v>
      </c>
      <c r="J17" s="5">
        <v>5.05</v>
      </c>
      <c r="K17" s="5">
        <v>6.14</v>
      </c>
      <c r="L17" s="6">
        <v>5.33E-2</v>
      </c>
      <c r="M17" s="6">
        <f t="shared" si="1"/>
        <v>0.58476268064794279</v>
      </c>
      <c r="O17" s="1">
        <f t="shared" si="5"/>
        <v>13</v>
      </c>
      <c r="P17" s="5">
        <v>5.4</v>
      </c>
      <c r="Q17" s="5">
        <v>6.69</v>
      </c>
      <c r="R17" s="5">
        <v>10.31</v>
      </c>
      <c r="S17" s="6">
        <v>0.24399999999999999</v>
      </c>
      <c r="T17" s="6">
        <f t="shared" si="2"/>
        <v>0.75052917467782632</v>
      </c>
    </row>
    <row r="18" spans="1:20">
      <c r="A18" s="1">
        <f t="shared" si="3"/>
        <v>14</v>
      </c>
      <c r="B18" s="5">
        <v>2.4700000000000002</v>
      </c>
      <c r="C18" s="5">
        <v>3.16</v>
      </c>
      <c r="D18" s="5">
        <v>5.93</v>
      </c>
      <c r="E18" s="6">
        <v>4.07E-2</v>
      </c>
      <c r="F18" s="6">
        <f t="shared" si="0"/>
        <v>0.68794023461820042</v>
      </c>
      <c r="H18" s="1">
        <f t="shared" si="4"/>
        <v>14</v>
      </c>
      <c r="I18" s="5">
        <v>4.08</v>
      </c>
      <c r="J18" s="5">
        <v>6.39</v>
      </c>
      <c r="K18" s="5">
        <v>9.76</v>
      </c>
      <c r="L18" s="6">
        <v>0.15010000000000001</v>
      </c>
      <c r="M18" s="6">
        <f t="shared" si="1"/>
        <v>0.64385768456831682</v>
      </c>
      <c r="O18" s="1">
        <f t="shared" si="5"/>
        <v>14</v>
      </c>
      <c r="P18" s="5">
        <v>5.67</v>
      </c>
      <c r="Q18" s="5">
        <v>6.75</v>
      </c>
      <c r="R18" s="5">
        <v>12.37</v>
      </c>
      <c r="S18" s="6">
        <v>0.4486</v>
      </c>
      <c r="T18" s="6">
        <f t="shared" si="2"/>
        <v>0.7274964556286232</v>
      </c>
    </row>
    <row r="19" spans="1:20">
      <c r="A19" s="1">
        <f t="shared" si="3"/>
        <v>15</v>
      </c>
      <c r="B19" s="5">
        <v>2.42</v>
      </c>
      <c r="C19" s="5">
        <v>5.23</v>
      </c>
      <c r="D19" s="5">
        <v>6.89</v>
      </c>
      <c r="E19" s="6">
        <v>4.8399999999999999E-2</v>
      </c>
      <c r="F19" s="6">
        <f>(B19^2/(C19*D19))^(1/3)</f>
        <v>0.54572008787860515</v>
      </c>
      <c r="H19" s="1">
        <f t="shared" si="4"/>
        <v>15</v>
      </c>
      <c r="I19" s="5">
        <v>5.08</v>
      </c>
      <c r="J19" s="5">
        <v>6.04</v>
      </c>
      <c r="K19" s="5">
        <v>9.32</v>
      </c>
      <c r="L19" s="6">
        <v>0.2326</v>
      </c>
      <c r="M19" s="6">
        <f>(I19^2/(J19*K19))^(1/3)</f>
        <v>0.771065948710149</v>
      </c>
      <c r="O19" s="1">
        <f t="shared" si="5"/>
        <v>15</v>
      </c>
      <c r="P19" s="5">
        <v>3.91</v>
      </c>
      <c r="Q19" s="5">
        <v>8.16</v>
      </c>
      <c r="R19" s="5">
        <v>13.72</v>
      </c>
      <c r="S19" s="6">
        <v>0.42380000000000001</v>
      </c>
      <c r="T19" s="6">
        <f>(P19^2/(Q19*R19))^(1/3)</f>
        <v>0.51495555598889442</v>
      </c>
    </row>
    <row r="20" spans="1:20">
      <c r="A20" s="1">
        <f t="shared" si="3"/>
        <v>16</v>
      </c>
      <c r="B20">
        <v>1.48</v>
      </c>
      <c r="C20">
        <v>5.24</v>
      </c>
      <c r="D20">
        <v>8.64</v>
      </c>
      <c r="E20">
        <v>3.8300000000000001E-2</v>
      </c>
      <c r="F20" s="6">
        <f t="shared" ref="F20:F29" si="6">(B20^2/(C20*D20))^(1/3)</f>
        <v>0.36438414107310996</v>
      </c>
      <c r="H20" s="1">
        <f t="shared" si="4"/>
        <v>16</v>
      </c>
      <c r="I20">
        <v>5.82</v>
      </c>
      <c r="J20">
        <v>6.42</v>
      </c>
      <c r="K20">
        <v>11.54</v>
      </c>
      <c r="L20">
        <v>0.36159999999999998</v>
      </c>
      <c r="M20" s="6">
        <f t="shared" ref="M20:M29" si="7">(I20^2/(J20*K20))^(1/3)</f>
        <v>0.77037416640438505</v>
      </c>
      <c r="O20" s="1">
        <f t="shared" si="5"/>
        <v>16</v>
      </c>
      <c r="P20">
        <v>6.25</v>
      </c>
      <c r="Q20">
        <v>10.29</v>
      </c>
      <c r="R20">
        <v>14.19</v>
      </c>
      <c r="S20">
        <v>0.5766</v>
      </c>
      <c r="T20" s="6">
        <f t="shared" ref="T20:T29" si="8">(P20^2/(Q20*R20))^(1/3)</f>
        <v>0.64434840055816678</v>
      </c>
    </row>
    <row r="21" spans="1:20">
      <c r="A21" s="1">
        <f t="shared" si="3"/>
        <v>17</v>
      </c>
      <c r="B21">
        <v>1.62</v>
      </c>
      <c r="C21">
        <v>4.25</v>
      </c>
      <c r="D21">
        <v>9.65</v>
      </c>
      <c r="E21">
        <v>5.1499999999999997E-2</v>
      </c>
      <c r="F21" s="6">
        <f t="shared" si="6"/>
        <v>0.39997967995932504</v>
      </c>
      <c r="H21" s="1">
        <f t="shared" si="4"/>
        <v>17</v>
      </c>
      <c r="I21">
        <v>3.84</v>
      </c>
      <c r="J21">
        <v>8.3699999999999992</v>
      </c>
      <c r="K21">
        <v>13.59</v>
      </c>
      <c r="L21">
        <v>0.30509999999999998</v>
      </c>
      <c r="M21" s="6">
        <f t="shared" si="7"/>
        <v>0.50610331038075429</v>
      </c>
      <c r="O21" s="1">
        <f t="shared" si="5"/>
        <v>17</v>
      </c>
      <c r="P21">
        <v>6.35</v>
      </c>
      <c r="Q21">
        <v>9.17</v>
      </c>
      <c r="R21">
        <v>11.95</v>
      </c>
      <c r="S21">
        <v>0.49059999999999998</v>
      </c>
      <c r="T21" s="6">
        <f t="shared" si="8"/>
        <v>0.7165888888441635</v>
      </c>
    </row>
    <row r="22" spans="1:20">
      <c r="A22" s="1">
        <f t="shared" si="3"/>
        <v>18</v>
      </c>
      <c r="B22">
        <v>1.69</v>
      </c>
      <c r="C22">
        <v>5.24</v>
      </c>
      <c r="D22">
        <v>6.63</v>
      </c>
      <c r="E22">
        <v>3.8199999999999998E-2</v>
      </c>
      <c r="F22" s="6">
        <f t="shared" si="6"/>
        <v>0.43482001960138428</v>
      </c>
      <c r="H22" s="1">
        <f t="shared" si="4"/>
        <v>18</v>
      </c>
      <c r="I22">
        <v>4.76</v>
      </c>
      <c r="J22">
        <v>6.16</v>
      </c>
      <c r="K22">
        <v>9.08</v>
      </c>
      <c r="L22">
        <v>0.1598</v>
      </c>
      <c r="M22" s="6">
        <f t="shared" si="7"/>
        <v>0.73991605044988473</v>
      </c>
      <c r="O22" s="1">
        <f t="shared" si="5"/>
        <v>18</v>
      </c>
      <c r="P22">
        <v>4.54</v>
      </c>
      <c r="Q22">
        <v>7.11</v>
      </c>
      <c r="R22">
        <v>10.039999999999999</v>
      </c>
      <c r="S22">
        <v>0.27260000000000001</v>
      </c>
      <c r="T22" s="6">
        <f t="shared" si="8"/>
        <v>0.6609513044737908</v>
      </c>
    </row>
    <row r="23" spans="1:20">
      <c r="A23" s="1">
        <f t="shared" si="3"/>
        <v>19</v>
      </c>
      <c r="B23">
        <v>2.67</v>
      </c>
      <c r="C23">
        <v>4.8</v>
      </c>
      <c r="D23">
        <v>7.92</v>
      </c>
      <c r="E23">
        <v>6.6400000000000001E-2</v>
      </c>
      <c r="F23" s="6">
        <f t="shared" si="6"/>
        <v>0.57238120936731673</v>
      </c>
      <c r="H23" s="1">
        <f t="shared" si="4"/>
        <v>19</v>
      </c>
      <c r="I23">
        <v>4.6399999999999997</v>
      </c>
      <c r="J23">
        <v>5.04</v>
      </c>
      <c r="K23">
        <v>11.09</v>
      </c>
      <c r="L23">
        <v>0.19650000000000001</v>
      </c>
      <c r="M23" s="6">
        <f t="shared" si="7"/>
        <v>0.72759765859795023</v>
      </c>
      <c r="O23" s="1">
        <f t="shared" si="5"/>
        <v>19</v>
      </c>
      <c r="P23">
        <v>5.74</v>
      </c>
      <c r="Q23">
        <v>7.02</v>
      </c>
      <c r="R23">
        <v>11.72</v>
      </c>
      <c r="S23">
        <v>0.40029999999999999</v>
      </c>
      <c r="T23" s="6">
        <f t="shared" si="8"/>
        <v>0.7370885875290123</v>
      </c>
    </row>
    <row r="24" spans="1:20">
      <c r="A24" s="1">
        <f t="shared" si="3"/>
        <v>20</v>
      </c>
      <c r="B24">
        <v>4.03</v>
      </c>
      <c r="C24">
        <v>4.2300000000000004</v>
      </c>
      <c r="D24">
        <v>7.25</v>
      </c>
      <c r="E24">
        <v>8.8099999999999998E-2</v>
      </c>
      <c r="F24" s="6">
        <f t="shared" si="6"/>
        <v>0.80905349709958507</v>
      </c>
      <c r="H24" s="1">
        <f t="shared" si="4"/>
        <v>20</v>
      </c>
      <c r="I24">
        <v>4.72</v>
      </c>
      <c r="J24">
        <v>6.11</v>
      </c>
      <c r="K24">
        <v>7.73</v>
      </c>
      <c r="L24">
        <v>0.15840000000000001</v>
      </c>
      <c r="M24" s="6">
        <f t="shared" si="7"/>
        <v>0.77843274739123869</v>
      </c>
      <c r="O24" s="1">
        <f t="shared" si="5"/>
        <v>20</v>
      </c>
      <c r="P24">
        <v>4.17</v>
      </c>
      <c r="Q24">
        <v>10.9</v>
      </c>
      <c r="R24">
        <v>14.48</v>
      </c>
      <c r="S24">
        <v>0.45179999999999998</v>
      </c>
      <c r="T24" s="6">
        <f t="shared" si="8"/>
        <v>0.4793937305076108</v>
      </c>
    </row>
    <row r="25" spans="1:20">
      <c r="A25" s="1">
        <f t="shared" si="3"/>
        <v>21</v>
      </c>
      <c r="B25">
        <v>2.75</v>
      </c>
      <c r="C25">
        <v>2.94</v>
      </c>
      <c r="D25">
        <v>6.98</v>
      </c>
      <c r="E25">
        <v>4.4499999999999998E-2</v>
      </c>
      <c r="F25" s="6">
        <f t="shared" si="6"/>
        <v>0.71694781394997764</v>
      </c>
      <c r="H25" s="1">
        <f t="shared" si="4"/>
        <v>21</v>
      </c>
      <c r="I25">
        <v>4.72</v>
      </c>
      <c r="J25">
        <v>6.43</v>
      </c>
      <c r="K25">
        <v>9.69</v>
      </c>
      <c r="L25">
        <v>0.17780000000000001</v>
      </c>
      <c r="M25" s="6">
        <f t="shared" si="7"/>
        <v>0.7097680008911823</v>
      </c>
      <c r="O25" s="1">
        <f t="shared" si="5"/>
        <v>21</v>
      </c>
      <c r="P25">
        <v>5.87</v>
      </c>
      <c r="Q25">
        <v>6.51</v>
      </c>
      <c r="R25">
        <v>12.21</v>
      </c>
      <c r="S25">
        <v>0.40739999999999998</v>
      </c>
      <c r="T25" s="6">
        <f t="shared" si="8"/>
        <v>0.75682101588873463</v>
      </c>
    </row>
    <row r="26" spans="1:20">
      <c r="A26" s="1">
        <f t="shared" si="3"/>
        <v>22</v>
      </c>
      <c r="B26">
        <v>1.82</v>
      </c>
      <c r="C26">
        <v>4.37</v>
      </c>
      <c r="D26">
        <v>6.35</v>
      </c>
      <c r="E26">
        <v>3.9100000000000003E-2</v>
      </c>
      <c r="F26" s="6">
        <f t="shared" si="6"/>
        <v>0.49237486102529016</v>
      </c>
      <c r="H26" s="1">
        <f t="shared" si="4"/>
        <v>22</v>
      </c>
      <c r="I26">
        <v>4.21</v>
      </c>
      <c r="J26">
        <v>6.44</v>
      </c>
      <c r="K26">
        <v>13.45</v>
      </c>
      <c r="L26">
        <v>0.22950000000000001</v>
      </c>
      <c r="M26" s="6">
        <f t="shared" si="7"/>
        <v>0.58927590021271015</v>
      </c>
      <c r="O26" s="1">
        <f t="shared" si="5"/>
        <v>22</v>
      </c>
      <c r="P26">
        <v>7.31</v>
      </c>
      <c r="Q26">
        <v>8.09</v>
      </c>
      <c r="R26">
        <v>11.84</v>
      </c>
      <c r="S26">
        <v>0.67649999999999999</v>
      </c>
      <c r="T26" s="6">
        <f t="shared" si="8"/>
        <v>0.82321165395586227</v>
      </c>
    </row>
    <row r="27" spans="1:20">
      <c r="A27" s="1">
        <f t="shared" si="3"/>
        <v>23</v>
      </c>
      <c r="B27">
        <v>3.16</v>
      </c>
      <c r="C27">
        <v>3.46</v>
      </c>
      <c r="D27">
        <v>6.32</v>
      </c>
      <c r="E27">
        <v>5.9499999999999997E-2</v>
      </c>
      <c r="F27" s="6">
        <f t="shared" si="6"/>
        <v>0.77006431061440339</v>
      </c>
      <c r="H27" s="1">
        <f t="shared" si="4"/>
        <v>23</v>
      </c>
      <c r="I27">
        <v>5.0599999999999996</v>
      </c>
      <c r="J27">
        <v>6.35</v>
      </c>
      <c r="K27">
        <v>8.2200000000000006</v>
      </c>
      <c r="L27">
        <v>0.16619999999999999</v>
      </c>
      <c r="M27" s="6">
        <f t="shared" si="7"/>
        <v>0.78865155437074996</v>
      </c>
      <c r="O27" s="1">
        <f t="shared" si="5"/>
        <v>23</v>
      </c>
      <c r="P27">
        <v>7.39</v>
      </c>
      <c r="Q27">
        <v>8.34</v>
      </c>
      <c r="R27">
        <v>11.39</v>
      </c>
      <c r="S27">
        <v>0.52329999999999999</v>
      </c>
      <c r="T27" s="6">
        <f t="shared" si="8"/>
        <v>0.83150787632070233</v>
      </c>
    </row>
    <row r="28" spans="1:20">
      <c r="A28" s="1">
        <f t="shared" si="3"/>
        <v>24</v>
      </c>
      <c r="B28">
        <v>2.36</v>
      </c>
      <c r="C28">
        <v>4.57</v>
      </c>
      <c r="D28">
        <v>8.39</v>
      </c>
      <c r="E28">
        <v>6.7699999999999996E-2</v>
      </c>
      <c r="F28" s="6">
        <f t="shared" si="6"/>
        <v>0.52567252871524239</v>
      </c>
      <c r="H28" s="1">
        <f t="shared" si="4"/>
        <v>24</v>
      </c>
      <c r="I28">
        <v>3.79</v>
      </c>
      <c r="J28">
        <v>4.7300000000000004</v>
      </c>
      <c r="K28">
        <v>11.22</v>
      </c>
      <c r="L28">
        <v>0.1181</v>
      </c>
      <c r="M28" s="6">
        <f t="shared" si="7"/>
        <v>0.64685678925355272</v>
      </c>
      <c r="O28" s="1">
        <f t="shared" si="5"/>
        <v>24</v>
      </c>
      <c r="P28">
        <v>6.59</v>
      </c>
      <c r="Q28">
        <v>8.0399999999999991</v>
      </c>
      <c r="R28">
        <v>10.9</v>
      </c>
      <c r="S28">
        <v>0.49349999999999999</v>
      </c>
      <c r="T28" s="6">
        <f t="shared" si="8"/>
        <v>0.7913393480288865</v>
      </c>
    </row>
    <row r="29" spans="1:20">
      <c r="A29" s="1">
        <f t="shared" si="3"/>
        <v>25</v>
      </c>
      <c r="B29">
        <v>1.89</v>
      </c>
      <c r="C29">
        <v>4.01</v>
      </c>
      <c r="D29">
        <v>6.8</v>
      </c>
      <c r="E29">
        <v>4.1200000000000001E-2</v>
      </c>
      <c r="F29" s="6">
        <f t="shared" si="6"/>
        <v>0.50787492867155182</v>
      </c>
      <c r="H29" s="1">
        <f t="shared" si="4"/>
        <v>25</v>
      </c>
      <c r="I29">
        <v>4.17</v>
      </c>
      <c r="J29">
        <v>5.31</v>
      </c>
      <c r="K29">
        <v>7.74</v>
      </c>
      <c r="L29">
        <v>0.1221</v>
      </c>
      <c r="M29" s="6">
        <f t="shared" si="7"/>
        <v>0.75072153838630429</v>
      </c>
      <c r="O29" s="1">
        <f t="shared" si="5"/>
        <v>25</v>
      </c>
      <c r="P29">
        <v>5.9</v>
      </c>
      <c r="Q29">
        <v>7.24</v>
      </c>
      <c r="R29">
        <v>12.12</v>
      </c>
      <c r="S29">
        <v>0.4168</v>
      </c>
      <c r="T29" s="6">
        <f t="shared" si="8"/>
        <v>0.73477484374632107</v>
      </c>
    </row>
    <row r="30" spans="1:20">
      <c r="A30" s="3" t="s">
        <v>9</v>
      </c>
      <c r="B30" s="8">
        <f>AVERAGE(B5:B19)</f>
        <v>2.7213333333333338</v>
      </c>
      <c r="C30" s="8">
        <f>AVERAGE(C5:C19)</f>
        <v>4.2806666666666668</v>
      </c>
      <c r="D30" s="8">
        <f>AVERAGE(D5:D19)</f>
        <v>7.4940000000000007</v>
      </c>
      <c r="E30" s="7">
        <f>AVERAGE(E5:E19)</f>
        <v>5.4419999999999996E-2</v>
      </c>
      <c r="F30" s="7">
        <f>AVERAGE(F5:F19)</f>
        <v>0.62148760211286447</v>
      </c>
      <c r="H30" s="3" t="s">
        <v>9</v>
      </c>
      <c r="I30" s="8">
        <f>AVERAGE(I5:I19)</f>
        <v>4.1286666666666658</v>
      </c>
      <c r="J30" s="8">
        <f>AVERAGE(J5:J19)</f>
        <v>5.8206666666666669</v>
      </c>
      <c r="K30" s="8">
        <f>AVERAGE(K5:K19)</f>
        <v>9.2199999999999989</v>
      </c>
      <c r="L30" s="7">
        <f>AVERAGE(L5:L19)</f>
        <v>0.16692000000000004</v>
      </c>
      <c r="M30" s="7">
        <f>AVERAGE(M5:M19)</f>
        <v>0.68429334237983097</v>
      </c>
      <c r="O30" s="3" t="s">
        <v>9</v>
      </c>
      <c r="P30" s="16">
        <f>AVERAGE(P5:P19)</f>
        <v>5.1513333333333327</v>
      </c>
      <c r="Q30" s="8">
        <f>AVERAGE(Q5:Q19)</f>
        <v>7.9006666666666661</v>
      </c>
      <c r="R30" s="8">
        <f>AVERAGE(R5:R19)</f>
        <v>12.395333333333332</v>
      </c>
      <c r="S30" s="7">
        <f>AVERAGE(S5:S19)</f>
        <v>0.41834666666666664</v>
      </c>
      <c r="T30" s="7">
        <f>AVERAGE(T5:T19)</f>
        <v>0.65005950635152332</v>
      </c>
    </row>
    <row r="31" spans="1:20">
      <c r="A31" s="10"/>
      <c r="B31" s="15"/>
      <c r="H31" s="10"/>
      <c r="I31" s="15"/>
      <c r="O31" s="10"/>
      <c r="P31" s="15"/>
    </row>
    <row r="33" spans="1:20">
      <c r="E33" s="31" t="s">
        <v>41</v>
      </c>
      <c r="F33" s="31"/>
      <c r="G33" s="31"/>
      <c r="H33" s="31"/>
      <c r="I33" s="31"/>
    </row>
    <row r="34" spans="1:20">
      <c r="A34" s="31" t="s">
        <v>27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O34" s="32" t="s">
        <v>42</v>
      </c>
      <c r="P34" s="28"/>
      <c r="Q34" s="28"/>
      <c r="R34" s="29"/>
      <c r="S34" s="2"/>
      <c r="T34" s="2"/>
    </row>
    <row r="35" spans="1:20">
      <c r="B35" s="26" t="s">
        <v>43</v>
      </c>
      <c r="C35" s="26"/>
      <c r="D35" s="26"/>
      <c r="E35" s="26"/>
      <c r="I35" s="26" t="s">
        <v>44</v>
      </c>
      <c r="J35" s="26"/>
      <c r="K35" s="26"/>
      <c r="L35" s="26"/>
      <c r="O35" s="11" t="s">
        <v>12</v>
      </c>
      <c r="P35">
        <v>1</v>
      </c>
      <c r="Q35">
        <v>2</v>
      </c>
      <c r="R35" s="12">
        <v>3</v>
      </c>
    </row>
    <row r="36" spans="1:20">
      <c r="A36" s="3" t="s">
        <v>3</v>
      </c>
      <c r="B36" s="3" t="s">
        <v>4</v>
      </c>
      <c r="C36" s="3" t="s">
        <v>5</v>
      </c>
      <c r="D36" s="3" t="s">
        <v>6</v>
      </c>
      <c r="E36" s="3" t="s">
        <v>7</v>
      </c>
      <c r="F36" s="3" t="s">
        <v>8</v>
      </c>
      <c r="H36" s="3" t="s">
        <v>3</v>
      </c>
      <c r="I36" s="3" t="s">
        <v>4</v>
      </c>
      <c r="J36" s="3" t="s">
        <v>5</v>
      </c>
      <c r="K36" s="3" t="s">
        <v>6</v>
      </c>
      <c r="L36" s="3" t="s">
        <v>7</v>
      </c>
      <c r="M36" s="3" t="s">
        <v>8</v>
      </c>
      <c r="O36" s="11" t="s">
        <v>13</v>
      </c>
      <c r="P36">
        <v>5.9440999999999997</v>
      </c>
      <c r="Q36">
        <v>5.9440999999999997</v>
      </c>
      <c r="R36" s="12">
        <v>5.7012999999999998</v>
      </c>
    </row>
    <row r="37" spans="1:20">
      <c r="A37" s="1">
        <v>1</v>
      </c>
      <c r="B37" s="5"/>
      <c r="C37" s="5"/>
      <c r="D37" s="5"/>
      <c r="F37" s="6" t="e">
        <f>(B37^2/(C37*D37))^(1/3)</f>
        <v>#DIV/0!</v>
      </c>
      <c r="H37" s="1">
        <v>1</v>
      </c>
      <c r="I37" s="5">
        <v>5.61</v>
      </c>
      <c r="J37" s="5">
        <v>9.49</v>
      </c>
      <c r="K37" s="5">
        <v>19.25</v>
      </c>
      <c r="L37" s="6">
        <v>0.90669999999999995</v>
      </c>
      <c r="M37" s="6">
        <f>(I37^2/(J37*K37))^(1/3)</f>
        <v>0.55642878934670204</v>
      </c>
      <c r="O37" s="11" t="s">
        <v>14</v>
      </c>
      <c r="P37">
        <v>2.8753000000000002</v>
      </c>
      <c r="Q37">
        <v>2.8753000000000002</v>
      </c>
      <c r="R37" s="12">
        <v>2.7536</v>
      </c>
    </row>
    <row r="38" spans="1:20">
      <c r="A38" s="1">
        <f>A37 + 1</f>
        <v>2</v>
      </c>
      <c r="B38" s="5"/>
      <c r="C38" s="5"/>
      <c r="D38" s="5"/>
      <c r="F38" s="6" t="e">
        <f t="shared" ref="F38:F51" si="9">(B38^2/(C38*D38))^(1/3)</f>
        <v>#DIV/0!</v>
      </c>
      <c r="H38" s="1">
        <f>H37 + 1</f>
        <v>2</v>
      </c>
      <c r="I38" s="5">
        <v>3.41</v>
      </c>
      <c r="J38" s="5">
        <v>8.5</v>
      </c>
      <c r="K38" s="5">
        <v>11.83</v>
      </c>
      <c r="L38" s="6">
        <v>0.31330000000000002</v>
      </c>
      <c r="M38" s="6">
        <f t="shared" ref="M38:M51" si="10">(I38^2/(J38*K38))^(1/3)</f>
        <v>0.48719373608772204</v>
      </c>
      <c r="O38" s="11" t="s">
        <v>15</v>
      </c>
      <c r="P38">
        <v>0.99819999999999998</v>
      </c>
      <c r="R38" s="12"/>
    </row>
    <row r="39" spans="1:20">
      <c r="A39" s="1">
        <f t="shared" ref="A39:A51" si="11">A38 + 1</f>
        <v>3</v>
      </c>
      <c r="B39" s="5"/>
      <c r="C39" s="5"/>
      <c r="D39" s="5"/>
      <c r="F39" s="6" t="e">
        <f t="shared" si="9"/>
        <v>#DIV/0!</v>
      </c>
      <c r="H39" s="1">
        <f t="shared" ref="H39:H51" si="12">H38 + 1</f>
        <v>3</v>
      </c>
      <c r="I39" s="5">
        <v>4.8499999999999996</v>
      </c>
      <c r="J39" s="5">
        <v>8.82</v>
      </c>
      <c r="K39" s="5">
        <v>11.54</v>
      </c>
      <c r="L39" s="6">
        <v>0.35320000000000001</v>
      </c>
      <c r="M39" s="6">
        <f t="shared" si="10"/>
        <v>0.61367207474083685</v>
      </c>
      <c r="O39" s="11" t="s">
        <v>16</v>
      </c>
      <c r="P39">
        <f>(P36*$P$38)/(P36-P37)</f>
        <v>1.9334595346715331</v>
      </c>
      <c r="Q39">
        <f>(Q36*$P$38)/(Q36-Q37)</f>
        <v>1.9334595346715331</v>
      </c>
      <c r="R39" s="12">
        <f>(R36*$P$38)/(R36-R37)</f>
        <v>1.9306705770600809</v>
      </c>
    </row>
    <row r="40" spans="1:20">
      <c r="A40" s="1">
        <f t="shared" si="11"/>
        <v>4</v>
      </c>
      <c r="B40" s="5"/>
      <c r="C40" s="5"/>
      <c r="D40" s="5"/>
      <c r="F40" s="6" t="e">
        <f t="shared" si="9"/>
        <v>#DIV/0!</v>
      </c>
      <c r="H40" s="1">
        <f t="shared" si="12"/>
        <v>4</v>
      </c>
      <c r="I40" s="5">
        <v>4.9400000000000004</v>
      </c>
      <c r="J40" s="5">
        <v>7.51</v>
      </c>
      <c r="K40" s="5">
        <v>10.119999999999999</v>
      </c>
      <c r="L40" s="6">
        <v>3.0439999999999998E-2</v>
      </c>
      <c r="M40" s="6">
        <f t="shared" si="10"/>
        <v>0.68476961729142294</v>
      </c>
      <c r="O40" s="17" t="s">
        <v>17</v>
      </c>
      <c r="P40" s="18">
        <f>AVERAGE(P39:R39)</f>
        <v>1.9325298821343824</v>
      </c>
      <c r="Q40" s="13"/>
      <c r="R40" s="14"/>
    </row>
    <row r="41" spans="1:20">
      <c r="A41" s="1">
        <f t="shared" si="11"/>
        <v>5</v>
      </c>
      <c r="B41" s="5"/>
      <c r="C41" s="5"/>
      <c r="D41" s="5"/>
      <c r="F41" s="6" t="e">
        <f t="shared" si="9"/>
        <v>#DIV/0!</v>
      </c>
      <c r="H41" s="1">
        <f t="shared" si="12"/>
        <v>5</v>
      </c>
      <c r="I41" s="5">
        <v>6.39</v>
      </c>
      <c r="J41" s="5">
        <v>7</v>
      </c>
      <c r="K41" s="5">
        <v>11.96</v>
      </c>
      <c r="L41" s="6">
        <v>0.4577</v>
      </c>
      <c r="M41" s="6">
        <f t="shared" si="10"/>
        <v>0.78714999836419342</v>
      </c>
    </row>
    <row r="42" spans="1:20">
      <c r="A42" s="1">
        <f t="shared" si="11"/>
        <v>6</v>
      </c>
      <c r="B42" s="5"/>
      <c r="C42" s="5"/>
      <c r="D42" s="5"/>
      <c r="F42" s="6" t="e">
        <f t="shared" si="9"/>
        <v>#DIV/0!</v>
      </c>
      <c r="H42" s="1">
        <f t="shared" si="12"/>
        <v>6</v>
      </c>
      <c r="I42" s="5">
        <v>5.55</v>
      </c>
      <c r="J42" s="5">
        <v>6.7</v>
      </c>
      <c r="K42" s="5">
        <v>10.68</v>
      </c>
      <c r="L42" s="6">
        <v>0.35420000000000001</v>
      </c>
      <c r="M42" s="6">
        <f t="shared" si="10"/>
        <v>0.75505740352019257</v>
      </c>
    </row>
    <row r="43" spans="1:20">
      <c r="A43" s="1">
        <f t="shared" si="11"/>
        <v>7</v>
      </c>
      <c r="B43" s="5"/>
      <c r="C43" s="5"/>
      <c r="D43" s="5"/>
      <c r="F43" s="6" t="e">
        <f t="shared" si="9"/>
        <v>#DIV/0!</v>
      </c>
      <c r="H43" s="1">
        <f t="shared" si="12"/>
        <v>7</v>
      </c>
      <c r="I43" s="5">
        <v>5.38</v>
      </c>
      <c r="J43" s="5">
        <v>6.77</v>
      </c>
      <c r="K43" s="5">
        <v>11.3</v>
      </c>
      <c r="L43" s="6">
        <v>0.28470000000000001</v>
      </c>
      <c r="M43" s="6">
        <f t="shared" si="10"/>
        <v>0.7232678261823402</v>
      </c>
    </row>
    <row r="44" spans="1:20">
      <c r="A44" s="1">
        <f t="shared" si="11"/>
        <v>8</v>
      </c>
      <c r="B44" s="5"/>
      <c r="C44" s="5"/>
      <c r="D44" s="5"/>
      <c r="F44" s="6" t="e">
        <f t="shared" si="9"/>
        <v>#DIV/0!</v>
      </c>
      <c r="H44" s="1">
        <f t="shared" si="12"/>
        <v>8</v>
      </c>
      <c r="I44" s="5">
        <v>6.8</v>
      </c>
      <c r="J44" s="5">
        <v>7.18</v>
      </c>
      <c r="K44" s="5">
        <v>11.49</v>
      </c>
      <c r="L44" s="6">
        <v>0.30559999999999998</v>
      </c>
      <c r="M44" s="6">
        <f t="shared" si="10"/>
        <v>0.82450086858118887</v>
      </c>
    </row>
    <row r="45" spans="1:20">
      <c r="A45" s="1">
        <f t="shared" si="11"/>
        <v>9</v>
      </c>
      <c r="B45" s="5"/>
      <c r="C45" s="5"/>
      <c r="D45" s="5"/>
      <c r="F45" s="6" t="e">
        <f t="shared" si="9"/>
        <v>#DIV/0!</v>
      </c>
      <c r="H45" s="1">
        <f t="shared" si="12"/>
        <v>9</v>
      </c>
      <c r="I45" s="5">
        <v>4.72</v>
      </c>
      <c r="J45" s="5">
        <v>6.73</v>
      </c>
      <c r="K45" s="5">
        <v>10.08</v>
      </c>
      <c r="L45" s="6">
        <v>0.31709999999999999</v>
      </c>
      <c r="M45" s="6">
        <f t="shared" si="10"/>
        <v>0.68992645844492007</v>
      </c>
    </row>
    <row r="46" spans="1:20">
      <c r="A46" s="1">
        <f t="shared" si="11"/>
        <v>10</v>
      </c>
      <c r="B46" s="5"/>
      <c r="C46" s="5"/>
      <c r="D46" s="5"/>
      <c r="F46" s="6" t="e">
        <f t="shared" si="9"/>
        <v>#DIV/0!</v>
      </c>
      <c r="H46" s="1">
        <f t="shared" si="12"/>
        <v>10</v>
      </c>
      <c r="I46" s="5">
        <v>5.47</v>
      </c>
      <c r="J46" s="5">
        <v>7.6</v>
      </c>
      <c r="K46" s="5">
        <v>14.96</v>
      </c>
      <c r="L46" s="6">
        <v>0.44330000000000003</v>
      </c>
      <c r="M46" s="6">
        <f t="shared" si="10"/>
        <v>0.64083047348008959</v>
      </c>
    </row>
    <row r="47" spans="1:20">
      <c r="A47" s="1">
        <f t="shared" si="11"/>
        <v>11</v>
      </c>
      <c r="B47" s="5"/>
      <c r="C47" s="5"/>
      <c r="D47" s="5"/>
      <c r="F47" s="6" t="e">
        <f t="shared" si="9"/>
        <v>#DIV/0!</v>
      </c>
      <c r="H47" s="1">
        <f t="shared" si="12"/>
        <v>11</v>
      </c>
      <c r="I47" s="5"/>
      <c r="J47" s="5"/>
      <c r="K47" s="5"/>
      <c r="L47" s="6"/>
      <c r="M47" s="6" t="e">
        <f t="shared" si="10"/>
        <v>#DIV/0!</v>
      </c>
    </row>
    <row r="48" spans="1:20">
      <c r="A48" s="1">
        <f t="shared" si="11"/>
        <v>12</v>
      </c>
      <c r="B48" s="5"/>
      <c r="C48" s="5"/>
      <c r="D48" s="5"/>
      <c r="F48" s="6" t="e">
        <f t="shared" si="9"/>
        <v>#DIV/0!</v>
      </c>
      <c r="H48" s="1">
        <f t="shared" si="12"/>
        <v>12</v>
      </c>
      <c r="I48" s="5"/>
      <c r="J48" s="5"/>
      <c r="K48" s="5"/>
      <c r="L48" s="6"/>
      <c r="M48" s="6" t="e">
        <f t="shared" si="10"/>
        <v>#DIV/0!</v>
      </c>
    </row>
    <row r="49" spans="1:37">
      <c r="A49" s="1">
        <f t="shared" si="11"/>
        <v>13</v>
      </c>
      <c r="B49" s="5"/>
      <c r="C49" s="5"/>
      <c r="D49" s="5"/>
      <c r="F49" s="6" t="e">
        <f t="shared" si="9"/>
        <v>#DIV/0!</v>
      </c>
      <c r="H49" s="1">
        <f t="shared" si="12"/>
        <v>13</v>
      </c>
      <c r="I49" s="5"/>
      <c r="J49" s="5"/>
      <c r="K49" s="5"/>
      <c r="L49" s="6"/>
      <c r="M49" s="6" t="e">
        <f t="shared" si="10"/>
        <v>#DIV/0!</v>
      </c>
    </row>
    <row r="50" spans="1:37">
      <c r="A50" s="1">
        <f t="shared" si="11"/>
        <v>14</v>
      </c>
      <c r="B50" s="5"/>
      <c r="C50" s="5"/>
      <c r="D50" s="5"/>
      <c r="F50" s="6" t="e">
        <f t="shared" si="9"/>
        <v>#DIV/0!</v>
      </c>
      <c r="H50" s="1">
        <f t="shared" si="12"/>
        <v>14</v>
      </c>
      <c r="I50" s="5"/>
      <c r="J50" s="5"/>
      <c r="K50" s="5"/>
      <c r="L50" s="6"/>
      <c r="M50" s="6" t="e">
        <f t="shared" si="10"/>
        <v>#DIV/0!</v>
      </c>
    </row>
    <row r="51" spans="1:37">
      <c r="A51" s="1">
        <f t="shared" si="11"/>
        <v>15</v>
      </c>
      <c r="B51" s="5"/>
      <c r="C51" s="5"/>
      <c r="D51" s="5"/>
      <c r="F51" s="6" t="e">
        <f t="shared" si="9"/>
        <v>#DIV/0!</v>
      </c>
      <c r="H51" s="1">
        <f t="shared" si="12"/>
        <v>15</v>
      </c>
      <c r="I51" s="5"/>
      <c r="J51" s="5"/>
      <c r="K51" s="5"/>
      <c r="L51" s="6"/>
      <c r="M51" s="6" t="e">
        <f>(I51^2/(J51*K51))^(1/3)</f>
        <v>#DIV/0!</v>
      </c>
    </row>
    <row r="52" spans="1:37">
      <c r="A52" s="3" t="s">
        <v>9</v>
      </c>
      <c r="B52" s="8" t="e">
        <f>AVERAGE(B37:B51)</f>
        <v>#DIV/0!</v>
      </c>
      <c r="C52" s="8" t="e">
        <f t="shared" ref="C52:D52" si="13">AVERAGE(C37:C51)</f>
        <v>#DIV/0!</v>
      </c>
      <c r="D52" s="8" t="e">
        <f t="shared" si="13"/>
        <v>#DIV/0!</v>
      </c>
      <c r="E52" s="7" t="e">
        <f>AVERAGE(E37:E51)</f>
        <v>#DIV/0!</v>
      </c>
      <c r="F52" s="7" t="e">
        <f>AVERAGE(F37:F51)</f>
        <v>#DIV/0!</v>
      </c>
      <c r="H52" s="3" t="s">
        <v>9</v>
      </c>
      <c r="I52" s="8">
        <f>AVERAGE(I37:I51)</f>
        <v>5.3119999999999994</v>
      </c>
      <c r="J52" s="8">
        <f t="shared" ref="J52:K52" si="14">AVERAGE(J37:J51)</f>
        <v>7.63</v>
      </c>
      <c r="K52" s="8">
        <f t="shared" si="14"/>
        <v>12.320999999999998</v>
      </c>
      <c r="L52" s="7" t="e">
        <f>AVERAGE(M37:M51)</f>
        <v>#DIV/0!</v>
      </c>
      <c r="M52" s="7">
        <f>AVERAGE(L37:L51)</f>
        <v>0.37662399999999996</v>
      </c>
    </row>
    <row r="53" spans="1:37">
      <c r="A53" s="10"/>
      <c r="B53" s="15"/>
      <c r="H53" s="10"/>
      <c r="I53" s="15"/>
      <c r="O53" s="10"/>
      <c r="P53" s="15"/>
      <c r="V53" s="10"/>
      <c r="W53" s="15"/>
      <c r="AC53" s="10"/>
      <c r="AD53" s="15"/>
      <c r="AJ53" s="10"/>
      <c r="AK53" s="15"/>
    </row>
    <row r="56" spans="1:37">
      <c r="E56" s="31" t="s">
        <v>41</v>
      </c>
      <c r="F56" s="31"/>
      <c r="G56" s="31"/>
      <c r="H56" s="31"/>
      <c r="I56" s="31"/>
    </row>
    <row r="57" spans="1:37">
      <c r="A57" s="31" t="s">
        <v>30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spans="1:37">
      <c r="B58" s="26" t="s">
        <v>43</v>
      </c>
      <c r="C58" s="26"/>
      <c r="D58" s="26"/>
      <c r="E58" s="26"/>
      <c r="I58" s="26" t="s">
        <v>44</v>
      </c>
      <c r="J58" s="26"/>
      <c r="K58" s="26"/>
      <c r="L58" s="26"/>
    </row>
    <row r="59" spans="1:37">
      <c r="A59" s="3" t="s">
        <v>3</v>
      </c>
      <c r="B59" s="3" t="s">
        <v>4</v>
      </c>
      <c r="C59" s="3" t="s">
        <v>5</v>
      </c>
      <c r="D59" s="3" t="s">
        <v>6</v>
      </c>
      <c r="E59" s="3" t="s">
        <v>7</v>
      </c>
      <c r="F59" s="3" t="s">
        <v>8</v>
      </c>
      <c r="H59" s="3" t="s">
        <v>3</v>
      </c>
      <c r="I59" s="3" t="s">
        <v>4</v>
      </c>
      <c r="J59" s="3" t="s">
        <v>5</v>
      </c>
      <c r="K59" s="3" t="s">
        <v>6</v>
      </c>
      <c r="L59" s="3" t="s">
        <v>7</v>
      </c>
      <c r="M59" s="3" t="s">
        <v>8</v>
      </c>
    </row>
    <row r="60" spans="1:37">
      <c r="A60" s="1">
        <v>1</v>
      </c>
      <c r="B60" s="5">
        <v>3.72</v>
      </c>
      <c r="C60" s="5">
        <v>6.54</v>
      </c>
      <c r="D60" s="5">
        <v>11.42</v>
      </c>
      <c r="E60">
        <v>0.13619999999999999</v>
      </c>
      <c r="F60" s="6">
        <f>(B60^2/(C60*D60))^(1/3)</f>
        <v>0.57009514499338199</v>
      </c>
      <c r="H60" s="1">
        <v>1</v>
      </c>
      <c r="I60" s="5">
        <v>5.26</v>
      </c>
      <c r="J60" s="5">
        <v>6.21</v>
      </c>
      <c r="K60" s="5">
        <v>10.77</v>
      </c>
      <c r="L60" s="6">
        <v>0.18809999999999999</v>
      </c>
      <c r="M60" s="6">
        <f>(I60^2/(J60*K60))^(1/3)</f>
        <v>0.74511172067734721</v>
      </c>
    </row>
    <row r="61" spans="1:37">
      <c r="A61" s="1">
        <f>A60 + 1</f>
        <v>2</v>
      </c>
      <c r="B61" s="5">
        <v>5.27</v>
      </c>
      <c r="C61" s="5">
        <v>6.28</v>
      </c>
      <c r="D61" s="5">
        <v>9.14</v>
      </c>
      <c r="E61">
        <v>0.22969999999999999</v>
      </c>
      <c r="F61" s="6">
        <f t="shared" ref="F61:F74" si="15">(B61^2/(C61*D61))^(1/3)</f>
        <v>0.78506412214082733</v>
      </c>
      <c r="H61" s="1">
        <f>H60 + 1</f>
        <v>2</v>
      </c>
      <c r="I61" s="5">
        <v>4.97</v>
      </c>
      <c r="J61" s="5">
        <v>5.68</v>
      </c>
      <c r="K61" s="5">
        <v>10.61</v>
      </c>
      <c r="L61" s="6">
        <v>0.22370000000000001</v>
      </c>
      <c r="M61" s="6">
        <f t="shared" ref="M61:M74" si="16">(I61^2/(J61*K61))^(1/3)</f>
        <v>0.74281902666181288</v>
      </c>
    </row>
    <row r="62" spans="1:37">
      <c r="A62" s="1">
        <f t="shared" ref="A62:A74" si="17">A61 + 1</f>
        <v>3</v>
      </c>
      <c r="B62" s="5">
        <v>5.58</v>
      </c>
      <c r="C62" s="5">
        <v>6.06</v>
      </c>
      <c r="D62" s="5">
        <v>7.88</v>
      </c>
      <c r="E62">
        <v>0.217</v>
      </c>
      <c r="F62" s="6">
        <f t="shared" si="15"/>
        <v>0.86714126182899065</v>
      </c>
      <c r="H62" s="1">
        <f t="shared" ref="H62:H74" si="18">H61 + 1</f>
        <v>3</v>
      </c>
      <c r="I62" s="5">
        <v>3.47</v>
      </c>
      <c r="J62" s="5">
        <v>5.15</v>
      </c>
      <c r="K62" s="5">
        <v>8.17</v>
      </c>
      <c r="L62" s="6">
        <v>0.1244</v>
      </c>
      <c r="M62" s="6">
        <f t="shared" si="16"/>
        <v>0.65898655605581513</v>
      </c>
    </row>
    <row r="63" spans="1:37">
      <c r="A63" s="1">
        <f t="shared" si="17"/>
        <v>4</v>
      </c>
      <c r="B63" s="5">
        <v>5.43</v>
      </c>
      <c r="C63" s="5">
        <v>5.47</v>
      </c>
      <c r="D63" s="5">
        <v>6.63</v>
      </c>
      <c r="E63">
        <v>0.1585</v>
      </c>
      <c r="F63" s="6">
        <f t="shared" si="15"/>
        <v>0.93332507701634793</v>
      </c>
      <c r="H63" s="1">
        <f t="shared" si="18"/>
        <v>4</v>
      </c>
      <c r="I63" s="5">
        <v>4.1100000000000003</v>
      </c>
      <c r="J63" s="5">
        <v>5.18</v>
      </c>
      <c r="K63" s="5">
        <v>11.09</v>
      </c>
      <c r="L63" s="6">
        <v>9.7000000000000003E-2</v>
      </c>
      <c r="M63" s="6">
        <f t="shared" si="16"/>
        <v>0.66497825803888977</v>
      </c>
    </row>
    <row r="64" spans="1:37">
      <c r="A64" s="1">
        <f t="shared" si="17"/>
        <v>5</v>
      </c>
      <c r="B64" s="5">
        <v>5.47</v>
      </c>
      <c r="C64" s="5">
        <v>5.59</v>
      </c>
      <c r="D64" s="5">
        <v>7.18</v>
      </c>
      <c r="E64">
        <v>0.15679999999999999</v>
      </c>
      <c r="F64" s="6">
        <f t="shared" si="15"/>
        <v>0.90673309383348299</v>
      </c>
      <c r="H64" s="1">
        <f t="shared" si="18"/>
        <v>5</v>
      </c>
      <c r="I64" s="5">
        <v>3.31</v>
      </c>
      <c r="J64" s="5">
        <v>5.74</v>
      </c>
      <c r="K64" s="5">
        <v>15.4</v>
      </c>
      <c r="L64" s="6">
        <v>0.1174</v>
      </c>
      <c r="M64" s="6">
        <f t="shared" si="16"/>
        <v>0.49858719988986394</v>
      </c>
    </row>
    <row r="65" spans="1:13">
      <c r="A65" s="1">
        <f t="shared" si="17"/>
        <v>6</v>
      </c>
      <c r="B65" s="5"/>
      <c r="C65" s="5"/>
      <c r="D65" s="5"/>
      <c r="F65" s="6" t="e">
        <f t="shared" si="15"/>
        <v>#DIV/0!</v>
      </c>
      <c r="H65" s="1">
        <f t="shared" si="18"/>
        <v>6</v>
      </c>
      <c r="I65" s="5">
        <v>4.74</v>
      </c>
      <c r="J65" s="5">
        <v>5.31</v>
      </c>
      <c r="K65" s="5">
        <v>6.99</v>
      </c>
      <c r="L65" s="6">
        <v>9.2200000000000004E-2</v>
      </c>
      <c r="M65" s="6">
        <f t="shared" si="16"/>
        <v>0.84591812189033022</v>
      </c>
    </row>
    <row r="66" spans="1:13">
      <c r="A66" s="1">
        <f t="shared" si="17"/>
        <v>7</v>
      </c>
      <c r="B66" s="5"/>
      <c r="C66" s="5"/>
      <c r="D66" s="5"/>
      <c r="F66" s="6" t="e">
        <f t="shared" si="15"/>
        <v>#DIV/0!</v>
      </c>
      <c r="H66" s="1">
        <f t="shared" si="18"/>
        <v>7</v>
      </c>
      <c r="I66" s="5">
        <v>4.4400000000000004</v>
      </c>
      <c r="J66" s="5">
        <v>7.43</v>
      </c>
      <c r="K66" s="5">
        <v>14.19</v>
      </c>
      <c r="L66" s="6">
        <v>0.3</v>
      </c>
      <c r="M66" s="6">
        <f t="shared" si="16"/>
        <v>0.57182733274441033</v>
      </c>
    </row>
    <row r="67" spans="1:13">
      <c r="A67" s="1">
        <f t="shared" si="17"/>
        <v>8</v>
      </c>
      <c r="B67" s="5"/>
      <c r="C67" s="5"/>
      <c r="D67" s="5"/>
      <c r="F67" s="6" t="e">
        <f t="shared" si="15"/>
        <v>#DIV/0!</v>
      </c>
      <c r="H67" s="1">
        <f t="shared" si="18"/>
        <v>8</v>
      </c>
      <c r="I67" s="5">
        <v>3.89</v>
      </c>
      <c r="J67" s="5">
        <v>6.93</v>
      </c>
      <c r="K67" s="5">
        <v>9.85</v>
      </c>
      <c r="L67" s="6">
        <v>0.18820000000000001</v>
      </c>
      <c r="M67" s="6">
        <f t="shared" si="16"/>
        <v>0.60521531943563223</v>
      </c>
    </row>
    <row r="68" spans="1:13">
      <c r="A68" s="1">
        <f t="shared" si="17"/>
        <v>9</v>
      </c>
      <c r="B68" s="5"/>
      <c r="C68" s="5"/>
      <c r="D68" s="5"/>
      <c r="F68" s="6" t="e">
        <f t="shared" si="15"/>
        <v>#DIV/0!</v>
      </c>
      <c r="H68" s="1">
        <f t="shared" si="18"/>
        <v>9</v>
      </c>
      <c r="I68" s="5">
        <v>3.63</v>
      </c>
      <c r="J68" s="5">
        <v>4.4400000000000004</v>
      </c>
      <c r="K68" s="5">
        <v>7.15</v>
      </c>
      <c r="L68" s="6">
        <v>0.108</v>
      </c>
      <c r="M68" s="6">
        <f t="shared" si="16"/>
        <v>0.74594718500467305</v>
      </c>
    </row>
    <row r="69" spans="1:13">
      <c r="A69" s="1">
        <f t="shared" si="17"/>
        <v>10</v>
      </c>
      <c r="B69" s="5"/>
      <c r="C69" s="5"/>
      <c r="D69" s="5"/>
      <c r="F69" s="6" t="e">
        <f t="shared" si="15"/>
        <v>#DIV/0!</v>
      </c>
      <c r="H69" s="1">
        <f t="shared" si="18"/>
        <v>10</v>
      </c>
      <c r="I69" s="5">
        <v>4.08</v>
      </c>
      <c r="J69" s="5">
        <v>4.17</v>
      </c>
      <c r="K69" s="5">
        <v>7.89</v>
      </c>
      <c r="L69" s="6">
        <v>7.8399999999999997E-2</v>
      </c>
      <c r="M69" s="6">
        <f t="shared" si="16"/>
        <v>0.79683626167887989</v>
      </c>
    </row>
    <row r="70" spans="1:13">
      <c r="A70" s="1">
        <f t="shared" si="17"/>
        <v>11</v>
      </c>
      <c r="B70" s="5"/>
      <c r="C70" s="5"/>
      <c r="D70" s="5"/>
      <c r="F70" s="6" t="e">
        <f t="shared" si="15"/>
        <v>#DIV/0!</v>
      </c>
      <c r="H70" s="1">
        <f t="shared" si="18"/>
        <v>11</v>
      </c>
      <c r="I70" s="5"/>
      <c r="J70" s="5"/>
      <c r="K70" s="5"/>
      <c r="L70" s="6"/>
      <c r="M70" s="6" t="e">
        <f t="shared" si="16"/>
        <v>#DIV/0!</v>
      </c>
    </row>
    <row r="71" spans="1:13">
      <c r="A71" s="1">
        <f t="shared" si="17"/>
        <v>12</v>
      </c>
      <c r="B71" s="5"/>
      <c r="C71" s="5"/>
      <c r="D71" s="5"/>
      <c r="F71" s="6" t="e">
        <f t="shared" si="15"/>
        <v>#DIV/0!</v>
      </c>
      <c r="H71" s="1">
        <f t="shared" si="18"/>
        <v>12</v>
      </c>
      <c r="I71" s="5"/>
      <c r="J71" s="5"/>
      <c r="K71" s="5"/>
      <c r="L71" s="6"/>
      <c r="M71" s="6" t="e">
        <f t="shared" si="16"/>
        <v>#DIV/0!</v>
      </c>
    </row>
    <row r="72" spans="1:13">
      <c r="A72" s="1">
        <f t="shared" si="17"/>
        <v>13</v>
      </c>
      <c r="B72" s="5"/>
      <c r="C72" s="5"/>
      <c r="D72" s="5"/>
      <c r="F72" s="6" t="e">
        <f t="shared" si="15"/>
        <v>#DIV/0!</v>
      </c>
      <c r="H72" s="1">
        <f t="shared" si="18"/>
        <v>13</v>
      </c>
      <c r="I72" s="5"/>
      <c r="J72" s="5"/>
      <c r="K72" s="5"/>
      <c r="L72" s="6"/>
      <c r="M72" s="6" t="e">
        <f t="shared" si="16"/>
        <v>#DIV/0!</v>
      </c>
    </row>
    <row r="73" spans="1:13">
      <c r="A73" s="1">
        <f t="shared" si="17"/>
        <v>14</v>
      </c>
      <c r="B73" s="5"/>
      <c r="C73" s="5"/>
      <c r="D73" s="5"/>
      <c r="F73" s="6" t="e">
        <f t="shared" si="15"/>
        <v>#DIV/0!</v>
      </c>
      <c r="H73" s="1">
        <f t="shared" si="18"/>
        <v>14</v>
      </c>
      <c r="I73" s="5"/>
      <c r="J73" s="5"/>
      <c r="K73" s="5"/>
      <c r="L73" s="6"/>
      <c r="M73" s="6" t="e">
        <f t="shared" si="16"/>
        <v>#DIV/0!</v>
      </c>
    </row>
    <row r="74" spans="1:13">
      <c r="A74" s="1">
        <f t="shared" si="17"/>
        <v>15</v>
      </c>
      <c r="B74" s="5"/>
      <c r="C74" s="5"/>
      <c r="D74" s="5"/>
      <c r="F74" s="6" t="e">
        <f t="shared" si="15"/>
        <v>#DIV/0!</v>
      </c>
      <c r="H74" s="1">
        <f t="shared" si="18"/>
        <v>15</v>
      </c>
      <c r="I74" s="5"/>
      <c r="J74" s="5"/>
      <c r="K74" s="5"/>
      <c r="L74" s="6"/>
      <c r="M74" s="6" t="e">
        <f>(I74^2/(J74*K74))^(1/3)</f>
        <v>#DIV/0!</v>
      </c>
    </row>
    <row r="75" spans="1:13">
      <c r="A75" s="3" t="s">
        <v>9</v>
      </c>
      <c r="B75" s="8">
        <f>AVERAGE(B60:B74)</f>
        <v>5.0939999999999994</v>
      </c>
      <c r="C75" s="8">
        <f t="shared" ref="C75:D75" si="19">AVERAGE(C60:C74)</f>
        <v>5.9879999999999995</v>
      </c>
      <c r="D75" s="8">
        <f t="shared" si="19"/>
        <v>8.4499999999999993</v>
      </c>
      <c r="E75" s="7" t="e">
        <f>AVERAGE(F60:F74)</f>
        <v>#DIV/0!</v>
      </c>
      <c r="F75" s="7">
        <f>AVERAGE(E60:E74)</f>
        <v>0.17963999999999997</v>
      </c>
      <c r="H75" s="3" t="s">
        <v>9</v>
      </c>
      <c r="I75" s="8">
        <f>AVERAGE(I60:I74)</f>
        <v>4.1899999999999995</v>
      </c>
      <c r="J75" s="8">
        <f t="shared" ref="J75:K75" si="20">AVERAGE(J60:J74)</f>
        <v>5.6240000000000006</v>
      </c>
      <c r="K75" s="8">
        <f t="shared" si="20"/>
        <v>10.211</v>
      </c>
      <c r="L75" s="7" t="e">
        <f>AVERAGE(M60:M74)</f>
        <v>#DIV/0!</v>
      </c>
      <c r="M75" s="7">
        <f>AVERAGE(L60:L74)</f>
        <v>0.15174000000000001</v>
      </c>
    </row>
    <row r="78" spans="1:13">
      <c r="E78" s="31" t="s">
        <v>41</v>
      </c>
      <c r="F78" s="31"/>
      <c r="G78" s="31"/>
      <c r="H78" s="31"/>
      <c r="I78" s="31"/>
    </row>
    <row r="79" spans="1:13">
      <c r="A79" s="31" t="s">
        <v>31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</row>
    <row r="80" spans="1:13">
      <c r="B80" s="26" t="s">
        <v>43</v>
      </c>
      <c r="C80" s="26"/>
      <c r="D80" s="26"/>
      <c r="E80" s="26"/>
      <c r="I80" s="26" t="s">
        <v>44</v>
      </c>
      <c r="J80" s="26"/>
      <c r="K80" s="26"/>
      <c r="L80" s="26"/>
    </row>
    <row r="81" spans="1:13">
      <c r="A81" s="3" t="s">
        <v>3</v>
      </c>
      <c r="B81" s="3" t="s">
        <v>4</v>
      </c>
      <c r="C81" s="3" t="s">
        <v>5</v>
      </c>
      <c r="D81" s="3" t="s">
        <v>6</v>
      </c>
      <c r="E81" s="3" t="s">
        <v>7</v>
      </c>
      <c r="F81" s="3" t="s">
        <v>8</v>
      </c>
      <c r="H81" s="3" t="s">
        <v>3</v>
      </c>
      <c r="I81" s="3" t="s">
        <v>4</v>
      </c>
      <c r="J81" s="3" t="s">
        <v>5</v>
      </c>
      <c r="K81" s="3" t="s">
        <v>6</v>
      </c>
      <c r="L81" s="3" t="s">
        <v>7</v>
      </c>
      <c r="M81" s="3" t="s">
        <v>8</v>
      </c>
    </row>
    <row r="82" spans="1:13">
      <c r="A82" s="1">
        <v>1</v>
      </c>
      <c r="B82" s="5">
        <v>3.58</v>
      </c>
      <c r="C82" s="5">
        <v>3.96</v>
      </c>
      <c r="D82" s="5">
        <v>5.66</v>
      </c>
      <c r="E82">
        <v>5.3499999999999999E-2</v>
      </c>
      <c r="F82" s="6">
        <f>(B82^2/(C82*D82))^(1/3)</f>
        <v>0.83001284239005946</v>
      </c>
      <c r="H82" s="1">
        <v>1</v>
      </c>
      <c r="I82" s="5">
        <v>2.63</v>
      </c>
      <c r="J82" s="5">
        <v>3.21</v>
      </c>
      <c r="K82" s="5">
        <v>8.01</v>
      </c>
      <c r="L82" s="6">
        <v>6.1499999999999999E-2</v>
      </c>
      <c r="M82" s="6">
        <f>(I82^2/(J82*K82))^(1/3)</f>
        <v>0.6455422171328743</v>
      </c>
    </row>
    <row r="83" spans="1:13">
      <c r="A83" s="1">
        <f>A82 + 1</f>
        <v>2</v>
      </c>
      <c r="B83" s="5">
        <v>3.37</v>
      </c>
      <c r="C83" s="5">
        <v>3.94</v>
      </c>
      <c r="D83" s="5">
        <v>6.81</v>
      </c>
      <c r="E83">
        <v>7.0699999999999999E-2</v>
      </c>
      <c r="F83" s="6">
        <f t="shared" ref="F83:F96" si="21">(B83^2/(C83*D83))^(1/3)</f>
        <v>0.75082516925667619</v>
      </c>
      <c r="H83" s="1">
        <f>H82 + 1</f>
        <v>2</v>
      </c>
      <c r="I83" s="5">
        <v>1.67</v>
      </c>
      <c r="J83" s="5">
        <v>2.31</v>
      </c>
      <c r="K83" s="5">
        <v>5.0599999999999996</v>
      </c>
      <c r="L83" s="6">
        <v>8.9999999999999993E-3</v>
      </c>
      <c r="M83" s="6">
        <f>(I83^2/(J83*K83))^(1/3)</f>
        <v>0.62023577871024471</v>
      </c>
    </row>
    <row r="84" spans="1:13">
      <c r="A84" s="1">
        <f t="shared" ref="A84:A96" si="22">A83 + 1</f>
        <v>3</v>
      </c>
      <c r="B84" s="5">
        <v>3.59</v>
      </c>
      <c r="C84" s="5">
        <v>3.82</v>
      </c>
      <c r="D84" s="5">
        <v>6.26</v>
      </c>
      <c r="E84">
        <v>5.5599999999999997E-2</v>
      </c>
      <c r="F84" s="6">
        <f t="shared" si="21"/>
        <v>0.8137988410176612</v>
      </c>
      <c r="H84" s="1">
        <f t="shared" ref="H84:H96" si="23">H83 + 1</f>
        <v>3</v>
      </c>
      <c r="I84" s="5">
        <v>2.4900000000000002</v>
      </c>
      <c r="J84" s="5">
        <v>4.5199999999999996</v>
      </c>
      <c r="K84" s="5">
        <v>7.12</v>
      </c>
      <c r="L84" s="6">
        <v>6.2E-2</v>
      </c>
      <c r="M84" s="6">
        <f>(I84^2/(J84*K84))^(1/3)</f>
        <v>0.57755509833118024</v>
      </c>
    </row>
    <row r="85" spans="1:13">
      <c r="A85" s="1">
        <f t="shared" si="22"/>
        <v>4</v>
      </c>
      <c r="B85" s="5">
        <v>6.48</v>
      </c>
      <c r="C85" s="5">
        <v>4.03</v>
      </c>
      <c r="D85" s="5">
        <v>6.39</v>
      </c>
      <c r="E85">
        <v>6.25E-2</v>
      </c>
      <c r="F85" s="6">
        <f t="shared" si="21"/>
        <v>1.1770132968582883</v>
      </c>
      <c r="H85" s="1">
        <f t="shared" si="23"/>
        <v>4</v>
      </c>
      <c r="I85" s="5">
        <v>2.93</v>
      </c>
      <c r="J85" s="5">
        <v>4.8</v>
      </c>
      <c r="K85" s="5">
        <v>7.67</v>
      </c>
      <c r="L85" s="6">
        <v>6.3100000000000003E-2</v>
      </c>
      <c r="M85" s="6">
        <f>(I85^2/(J85*K85))^(1/3)</f>
        <v>0.61550683472184176</v>
      </c>
    </row>
    <row r="86" spans="1:13">
      <c r="A86" s="1">
        <f t="shared" si="22"/>
        <v>5</v>
      </c>
      <c r="B86" s="5">
        <v>3.9</v>
      </c>
      <c r="C86" s="5">
        <v>4.04</v>
      </c>
      <c r="D86" s="5">
        <v>5.92</v>
      </c>
      <c r="E86">
        <v>6.2E-2</v>
      </c>
      <c r="F86" s="6">
        <f t="shared" si="21"/>
        <v>0.85995431646712051</v>
      </c>
      <c r="H86" s="1">
        <f t="shared" si="23"/>
        <v>5</v>
      </c>
      <c r="I86" s="5">
        <v>2.8</v>
      </c>
      <c r="J86" s="5">
        <v>3.52</v>
      </c>
      <c r="K86" s="5">
        <v>6.9</v>
      </c>
      <c r="L86" s="6">
        <v>0.38900000000000001</v>
      </c>
      <c r="M86" s="6">
        <f>(I86^2/(J86*K86))^(1/3)</f>
        <v>0.68597470694150897</v>
      </c>
    </row>
    <row r="87" spans="1:13">
      <c r="A87" s="1">
        <f t="shared" si="22"/>
        <v>6</v>
      </c>
      <c r="B87" s="5"/>
      <c r="C87" s="5"/>
      <c r="D87" s="5"/>
      <c r="F87" s="6" t="e">
        <f t="shared" si="21"/>
        <v>#DIV/0!</v>
      </c>
      <c r="H87" s="1">
        <f t="shared" si="23"/>
        <v>6</v>
      </c>
      <c r="I87" s="5"/>
      <c r="J87" s="5"/>
      <c r="K87" s="5"/>
      <c r="L87" s="6"/>
      <c r="M87" s="6" t="e">
        <f>(I87^2/(J87*K87))^(1/3)</f>
        <v>#DIV/0!</v>
      </c>
    </row>
    <row r="88" spans="1:13">
      <c r="A88" s="1">
        <f t="shared" si="22"/>
        <v>7</v>
      </c>
      <c r="B88" s="5"/>
      <c r="C88" s="5"/>
      <c r="D88" s="5"/>
      <c r="F88" s="6" t="e">
        <f t="shared" si="21"/>
        <v>#DIV/0!</v>
      </c>
      <c r="H88" s="1">
        <f t="shared" si="23"/>
        <v>7</v>
      </c>
      <c r="I88" s="5"/>
      <c r="J88" s="5"/>
      <c r="K88" s="5"/>
      <c r="L88" s="6"/>
      <c r="M88" s="6" t="e">
        <f>(I88^2/(J88*K88))^(1/3)</f>
        <v>#DIV/0!</v>
      </c>
    </row>
    <row r="89" spans="1:13">
      <c r="A89" s="1">
        <f t="shared" si="22"/>
        <v>8</v>
      </c>
      <c r="B89" s="5"/>
      <c r="C89" s="5"/>
      <c r="D89" s="5"/>
      <c r="F89" s="6" t="e">
        <f t="shared" si="21"/>
        <v>#DIV/0!</v>
      </c>
      <c r="H89" s="1">
        <f t="shared" si="23"/>
        <v>8</v>
      </c>
      <c r="I89" s="5"/>
      <c r="J89" s="5"/>
      <c r="K89" s="5"/>
      <c r="L89" s="6"/>
      <c r="M89" s="6" t="e">
        <f>(I89^2/(J89*K89))^(1/3)</f>
        <v>#DIV/0!</v>
      </c>
    </row>
    <row r="90" spans="1:13">
      <c r="A90" s="1">
        <f t="shared" si="22"/>
        <v>9</v>
      </c>
      <c r="B90" s="5"/>
      <c r="C90" s="5"/>
      <c r="D90" s="5"/>
      <c r="F90" s="6" t="e">
        <f t="shared" si="21"/>
        <v>#DIV/0!</v>
      </c>
      <c r="H90" s="1">
        <f t="shared" si="23"/>
        <v>9</v>
      </c>
      <c r="I90" s="5"/>
      <c r="J90" s="5"/>
      <c r="K90" s="5"/>
      <c r="L90" s="6"/>
      <c r="M90" s="6" t="e">
        <f>(I90^2/(J90*K90))^(1/3)</f>
        <v>#DIV/0!</v>
      </c>
    </row>
    <row r="91" spans="1:13">
      <c r="A91" s="1">
        <f t="shared" si="22"/>
        <v>10</v>
      </c>
      <c r="B91" s="5"/>
      <c r="C91" s="5"/>
      <c r="D91" s="5"/>
      <c r="F91" s="6" t="e">
        <f t="shared" si="21"/>
        <v>#DIV/0!</v>
      </c>
      <c r="H91" s="1">
        <f t="shared" si="23"/>
        <v>10</v>
      </c>
      <c r="I91" s="5"/>
      <c r="J91" s="5"/>
      <c r="K91" s="5"/>
      <c r="L91" s="6"/>
      <c r="M91" s="6" t="e">
        <f>(I91^2/(J91*K91))^(1/3)</f>
        <v>#DIV/0!</v>
      </c>
    </row>
    <row r="92" spans="1:13">
      <c r="A92" s="1">
        <f t="shared" si="22"/>
        <v>11</v>
      </c>
      <c r="B92" s="5"/>
      <c r="C92" s="5"/>
      <c r="D92" s="5"/>
      <c r="F92" s="6" t="e">
        <f t="shared" si="21"/>
        <v>#DIV/0!</v>
      </c>
      <c r="H92" s="1">
        <f t="shared" si="23"/>
        <v>11</v>
      </c>
      <c r="I92" s="5"/>
      <c r="J92" s="5"/>
      <c r="K92" s="5"/>
      <c r="L92" s="6"/>
      <c r="M92" s="6" t="e">
        <f>(I92^2/(J92*K92))^(1/3)</f>
        <v>#DIV/0!</v>
      </c>
    </row>
    <row r="93" spans="1:13">
      <c r="A93" s="1">
        <f t="shared" si="22"/>
        <v>12</v>
      </c>
      <c r="B93" s="5"/>
      <c r="C93" s="5"/>
      <c r="D93" s="5"/>
      <c r="F93" s="6" t="e">
        <f t="shared" si="21"/>
        <v>#DIV/0!</v>
      </c>
      <c r="H93" s="1">
        <f t="shared" si="23"/>
        <v>12</v>
      </c>
      <c r="I93" s="5"/>
      <c r="J93" s="5"/>
      <c r="K93" s="5"/>
      <c r="L93" s="6"/>
      <c r="M93" s="6" t="e">
        <f>(I93^2/(J93*K93))^(1/3)</f>
        <v>#DIV/0!</v>
      </c>
    </row>
    <row r="94" spans="1:13">
      <c r="A94" s="1">
        <f t="shared" si="22"/>
        <v>13</v>
      </c>
      <c r="B94" s="5"/>
      <c r="C94" s="5"/>
      <c r="D94" s="5"/>
      <c r="F94" s="6" t="e">
        <f t="shared" si="21"/>
        <v>#DIV/0!</v>
      </c>
      <c r="H94" s="1">
        <f t="shared" si="23"/>
        <v>13</v>
      </c>
      <c r="I94" s="5"/>
      <c r="J94" s="5"/>
      <c r="K94" s="5"/>
      <c r="L94" s="6"/>
      <c r="M94" s="6" t="e">
        <f>(I94^2/(J94*K94))^(1/3)</f>
        <v>#DIV/0!</v>
      </c>
    </row>
    <row r="95" spans="1:13">
      <c r="A95" s="1">
        <f t="shared" si="22"/>
        <v>14</v>
      </c>
      <c r="B95" s="5"/>
      <c r="C95" s="5"/>
      <c r="D95" s="5"/>
      <c r="F95" s="6" t="e">
        <f t="shared" si="21"/>
        <v>#DIV/0!</v>
      </c>
      <c r="H95" s="1">
        <f t="shared" si="23"/>
        <v>14</v>
      </c>
      <c r="I95" s="5"/>
      <c r="J95" s="5"/>
      <c r="K95" s="5"/>
      <c r="L95" s="6"/>
      <c r="M95" s="6" t="e">
        <f>(I95^2/(J95*K95))^(1/3)</f>
        <v>#DIV/0!</v>
      </c>
    </row>
    <row r="96" spans="1:13">
      <c r="A96" s="1">
        <f t="shared" si="22"/>
        <v>15</v>
      </c>
      <c r="B96" s="5"/>
      <c r="C96" s="5"/>
      <c r="D96" s="5"/>
      <c r="F96" s="6" t="e">
        <f t="shared" si="21"/>
        <v>#DIV/0!</v>
      </c>
      <c r="H96" s="1">
        <f t="shared" si="23"/>
        <v>15</v>
      </c>
      <c r="I96" s="5"/>
      <c r="J96" s="5"/>
      <c r="K96" s="5"/>
      <c r="L96" s="6"/>
      <c r="M96" s="6" t="e">
        <f>(I96^2/(J96*K96))^(1/3)</f>
        <v>#DIV/0!</v>
      </c>
    </row>
    <row r="97" spans="1:13">
      <c r="A97" s="3" t="s">
        <v>9</v>
      </c>
      <c r="B97" s="8">
        <f>AVERAGE(B82:B96)</f>
        <v>4.1839999999999993</v>
      </c>
      <c r="C97" s="8">
        <f t="shared" ref="C97:D97" si="24">AVERAGE(C82:C96)</f>
        <v>3.9579999999999997</v>
      </c>
      <c r="D97" s="8">
        <f t="shared" si="24"/>
        <v>6.2080000000000002</v>
      </c>
      <c r="E97" s="7" t="e">
        <f>AVERAGE(F82:F96)</f>
        <v>#DIV/0!</v>
      </c>
      <c r="F97" s="7">
        <f>AVERAGE(E82:E96)</f>
        <v>6.0860000000000004E-2</v>
      </c>
      <c r="H97" s="3" t="s">
        <v>9</v>
      </c>
      <c r="I97" s="8">
        <f>AVERAGE(I82:I96)</f>
        <v>2.504</v>
      </c>
      <c r="J97" s="8">
        <f t="shared" ref="J97:K97" si="25">AVERAGE(J82:J96)</f>
        <v>3.6719999999999997</v>
      </c>
      <c r="K97" s="8">
        <f t="shared" si="25"/>
        <v>6.952</v>
      </c>
      <c r="L97" s="7" t="e">
        <f>AVERAGE(M82:M96)</f>
        <v>#DIV/0!</v>
      </c>
      <c r="M97" s="7">
        <f>AVERAGE(L82:L96)</f>
        <v>0.11692</v>
      </c>
    </row>
  </sheetData>
  <mergeCells count="17">
    <mergeCell ref="I80:L80"/>
    <mergeCell ref="B35:E35"/>
    <mergeCell ref="I35:L35"/>
    <mergeCell ref="B58:E58"/>
    <mergeCell ref="I58:L58"/>
    <mergeCell ref="B80:E80"/>
    <mergeCell ref="E56:I56"/>
    <mergeCell ref="E78:I78"/>
    <mergeCell ref="A57:M57"/>
    <mergeCell ref="A79:M79"/>
    <mergeCell ref="P3:S3"/>
    <mergeCell ref="B3:E3"/>
    <mergeCell ref="I3:L3"/>
    <mergeCell ref="O34:R34"/>
    <mergeCell ref="A1:T1"/>
    <mergeCell ref="E33:I33"/>
    <mergeCell ref="A34:M34"/>
  </mergeCells>
  <pageMargins left="0.7" right="0.7" top="0.75" bottom="0.75" header="0.3" footer="0.3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ED9A-DE09-4095-A354-D259B8DFA7D9}">
  <dimension ref="A1:M28"/>
  <sheetViews>
    <sheetView workbookViewId="0">
      <selection activeCell="O15" sqref="O15"/>
    </sheetView>
  </sheetViews>
  <sheetFormatPr defaultRowHeight="15"/>
  <sheetData>
    <row r="1" spans="1:1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3" spans="1:13">
      <c r="B3" s="37" t="s">
        <v>45</v>
      </c>
      <c r="C3" s="37"/>
      <c r="D3" s="37"/>
      <c r="E3" s="37"/>
      <c r="I3" s="26" t="s">
        <v>2</v>
      </c>
      <c r="J3" s="26"/>
      <c r="K3" s="26"/>
      <c r="L3" s="26"/>
    </row>
    <row r="4" spans="1:1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8</v>
      </c>
    </row>
    <row r="5" spans="1:13">
      <c r="A5" s="1">
        <v>1</v>
      </c>
      <c r="B5" s="5">
        <v>6</v>
      </c>
      <c r="C5" s="5">
        <v>9.1300000000000008</v>
      </c>
      <c r="D5" s="5">
        <v>10.97</v>
      </c>
      <c r="E5" s="6">
        <v>0.28050000000000003</v>
      </c>
      <c r="F5" s="6">
        <f>(B5^2/(C5*D5))^(1/3)</f>
        <v>0.71100889160800929</v>
      </c>
      <c r="H5" s="1">
        <v>1</v>
      </c>
      <c r="I5" s="5">
        <v>4.07</v>
      </c>
      <c r="J5" s="5">
        <v>7.85</v>
      </c>
      <c r="K5" s="5">
        <v>9.1</v>
      </c>
      <c r="L5" s="6">
        <v>0.70669999999999999</v>
      </c>
      <c r="M5" s="6">
        <f>(I5^2/(J5*K5))^(1/3)</f>
        <v>0.61436423170495913</v>
      </c>
    </row>
    <row r="6" spans="1:13">
      <c r="A6" s="1">
        <f>A5 + 1</f>
        <v>2</v>
      </c>
      <c r="B6" s="5">
        <v>6.85</v>
      </c>
      <c r="C6" s="5">
        <v>9.15</v>
      </c>
      <c r="D6" s="5">
        <v>11.09</v>
      </c>
      <c r="E6" s="6">
        <v>0.3397</v>
      </c>
      <c r="F6" s="6">
        <f t="shared" ref="F6:F9" si="0">(B6^2/(C6*D6))^(1/3)</f>
        <v>0.77329078386552008</v>
      </c>
      <c r="H6" s="1">
        <f>H5 + 1</f>
        <v>2</v>
      </c>
      <c r="I6" s="5">
        <v>3.36</v>
      </c>
      <c r="J6" s="5">
        <v>5.87</v>
      </c>
      <c r="K6" s="5">
        <v>8.0500000000000007</v>
      </c>
      <c r="L6" s="6">
        <v>0.43940000000000001</v>
      </c>
      <c r="M6" s="6">
        <f t="shared" ref="M6:M9" si="1">(I6^2/(J6*K6))^(1/3)</f>
        <v>0.62050915155148401</v>
      </c>
    </row>
    <row r="7" spans="1:13">
      <c r="A7" s="1">
        <f t="shared" ref="A7:A9" si="2">A6 + 1</f>
        <v>3</v>
      </c>
      <c r="B7" s="5">
        <v>4.5599999999999996</v>
      </c>
      <c r="C7" s="5">
        <v>5.42</v>
      </c>
      <c r="D7" s="5">
        <v>8.35</v>
      </c>
      <c r="E7" s="6">
        <v>0.1321</v>
      </c>
      <c r="F7" s="6">
        <f t="shared" si="0"/>
        <v>0.77163983785932044</v>
      </c>
      <c r="H7" s="1">
        <f t="shared" ref="H7:H9" si="3">H6 + 1</f>
        <v>3</v>
      </c>
      <c r="I7" s="5">
        <v>4.03</v>
      </c>
      <c r="J7" s="5">
        <v>5.5</v>
      </c>
      <c r="K7" s="5">
        <v>7.45</v>
      </c>
      <c r="L7" s="6">
        <v>0.37580000000000002</v>
      </c>
      <c r="M7" s="6">
        <f t="shared" si="1"/>
        <v>0.7345652454458147</v>
      </c>
    </row>
    <row r="8" spans="1:13">
      <c r="A8" s="1">
        <f t="shared" si="2"/>
        <v>4</v>
      </c>
      <c r="B8" s="5">
        <v>3.95</v>
      </c>
      <c r="C8" s="5">
        <v>3.96</v>
      </c>
      <c r="D8" s="5">
        <v>7.11</v>
      </c>
      <c r="E8" s="6">
        <v>0.10440000000000001</v>
      </c>
      <c r="F8" s="6">
        <f t="shared" si="0"/>
        <v>0.82137812945479749</v>
      </c>
      <c r="H8" s="1">
        <f t="shared" si="3"/>
        <v>4</v>
      </c>
      <c r="I8" s="5">
        <v>2.2400000000000002</v>
      </c>
      <c r="J8" s="5">
        <v>4.54</v>
      </c>
      <c r="K8" s="5">
        <v>5.99</v>
      </c>
      <c r="L8" s="6">
        <v>0.2112</v>
      </c>
      <c r="M8" s="6">
        <f t="shared" si="1"/>
        <v>0.5692955474516298</v>
      </c>
    </row>
    <row r="9" spans="1:13">
      <c r="A9" s="1">
        <f t="shared" si="2"/>
        <v>5</v>
      </c>
      <c r="B9" s="5">
        <v>1.54</v>
      </c>
      <c r="C9" s="5">
        <v>4.3099999999999996</v>
      </c>
      <c r="D9" s="5">
        <v>9.66</v>
      </c>
      <c r="E9" s="6">
        <v>1.8700000000000001E-2</v>
      </c>
      <c r="F9" s="6">
        <f t="shared" si="0"/>
        <v>0.38476510805689901</v>
      </c>
      <c r="H9" s="1">
        <f t="shared" si="3"/>
        <v>5</v>
      </c>
      <c r="I9" s="5">
        <v>2.71</v>
      </c>
      <c r="J9" s="5">
        <v>3.62</v>
      </c>
      <c r="K9" s="5">
        <v>4.92</v>
      </c>
      <c r="L9" s="6">
        <v>0.14899999999999999</v>
      </c>
      <c r="M9" s="6">
        <f t="shared" si="1"/>
        <v>0.74431191194450308</v>
      </c>
    </row>
    <row r="10" spans="1:13">
      <c r="A10" s="3" t="s">
        <v>9</v>
      </c>
      <c r="B10" s="8">
        <f>AVERAGE(B5:B9)</f>
        <v>4.58</v>
      </c>
      <c r="C10" s="8">
        <f>AVERAGE(C5:C9)</f>
        <v>6.3940000000000001</v>
      </c>
      <c r="D10" s="8">
        <f>AVERAGE(D5:D9)</f>
        <v>9.4360000000000017</v>
      </c>
      <c r="E10" s="7">
        <f>AVERAGE(E5:E9)</f>
        <v>0.17508000000000004</v>
      </c>
      <c r="F10" s="7">
        <f>AVERAGE(F5:F9)</f>
        <v>0.69241655016890924</v>
      </c>
      <c r="H10" s="3" t="s">
        <v>9</v>
      </c>
      <c r="I10" s="8">
        <f>AVERAGE(I5:I9)</f>
        <v>3.282</v>
      </c>
      <c r="J10" s="8">
        <f>AVERAGE(J5:J9)</f>
        <v>5.476</v>
      </c>
      <c r="K10" s="8">
        <f>AVERAGE(K5:K9)</f>
        <v>7.1019999999999994</v>
      </c>
      <c r="L10" s="7">
        <f>AVERAGE(L5:L9)</f>
        <v>0.37642000000000003</v>
      </c>
      <c r="M10" s="7">
        <f>AVERAGE(M5:M9)</f>
        <v>0.65660921761967816</v>
      </c>
    </row>
    <row r="12" spans="1:13">
      <c r="B12" s="26" t="s">
        <v>33</v>
      </c>
      <c r="C12" s="26"/>
      <c r="D12" s="26"/>
      <c r="E12" s="26"/>
      <c r="I12" s="26" t="s">
        <v>34</v>
      </c>
      <c r="J12" s="26"/>
      <c r="K12" s="26"/>
      <c r="L12" s="26"/>
    </row>
    <row r="13" spans="1:13">
      <c r="A13" s="3" t="s">
        <v>3</v>
      </c>
      <c r="B13" s="3" t="s">
        <v>4</v>
      </c>
      <c r="C13" s="3" t="s">
        <v>5</v>
      </c>
      <c r="D13" s="3" t="s">
        <v>6</v>
      </c>
      <c r="E13" s="3" t="s">
        <v>7</v>
      </c>
      <c r="F13" s="3" t="s">
        <v>8</v>
      </c>
      <c r="H13" s="3" t="s">
        <v>3</v>
      </c>
      <c r="I13" s="3" t="s">
        <v>4</v>
      </c>
      <c r="J13" s="3" t="s">
        <v>5</v>
      </c>
      <c r="K13" s="3" t="s">
        <v>6</v>
      </c>
      <c r="L13" s="3" t="s">
        <v>7</v>
      </c>
      <c r="M13" s="3" t="s">
        <v>8</v>
      </c>
    </row>
    <row r="14" spans="1:13">
      <c r="A14" s="1">
        <v>1</v>
      </c>
      <c r="B14" s="5">
        <v>2.34</v>
      </c>
      <c r="C14" s="5">
        <v>10.18</v>
      </c>
      <c r="D14" s="5">
        <v>13.85</v>
      </c>
      <c r="E14" s="6">
        <v>0.189</v>
      </c>
      <c r="F14" s="6">
        <f>(B14^2/(C14*D14))^(1/3)</f>
        <v>0.3386450416299191</v>
      </c>
      <c r="H14" s="1">
        <v>1</v>
      </c>
      <c r="I14" s="5">
        <v>5.05</v>
      </c>
      <c r="J14" s="5">
        <v>9.69</v>
      </c>
      <c r="K14" s="5">
        <v>13.55</v>
      </c>
      <c r="L14" s="6">
        <v>0.42420000000000002</v>
      </c>
      <c r="M14" s="6">
        <f>(I14^2/(J14*K14))^(1/3)</f>
        <v>0.57912621984743018</v>
      </c>
    </row>
    <row r="15" spans="1:13">
      <c r="A15" s="1">
        <f>A14 + 1</f>
        <v>2</v>
      </c>
      <c r="B15" s="5">
        <v>1.74</v>
      </c>
      <c r="C15" s="5">
        <v>10.92</v>
      </c>
      <c r="D15" s="5">
        <v>16.29</v>
      </c>
      <c r="E15" s="6">
        <v>0.1094</v>
      </c>
      <c r="F15" s="6">
        <f t="shared" ref="F15:F18" si="4">(B15^2/(C15*D15))^(1/3)</f>
        <v>0.25722801003737733</v>
      </c>
      <c r="H15" s="1">
        <f>H14 + 1</f>
        <v>2</v>
      </c>
      <c r="I15" s="5">
        <v>5.97</v>
      </c>
      <c r="J15" s="5">
        <v>6.39</v>
      </c>
      <c r="K15" s="5">
        <v>9.5</v>
      </c>
      <c r="L15" s="6">
        <v>0.2082</v>
      </c>
      <c r="M15" s="6">
        <f t="shared" ref="M15:M18" si="5">(I15^2/(J15*K15))^(1/3)</f>
        <v>0.83735200830768153</v>
      </c>
    </row>
    <row r="16" spans="1:13">
      <c r="A16" s="1">
        <f t="shared" ref="A16:A18" si="6">A15 + 1</f>
        <v>3</v>
      </c>
      <c r="B16" s="5">
        <v>3.48</v>
      </c>
      <c r="C16" s="5">
        <v>6.77</v>
      </c>
      <c r="D16" s="5">
        <v>10.130000000000001</v>
      </c>
      <c r="E16" s="6">
        <v>8.3400000000000002E-2</v>
      </c>
      <c r="F16" s="6">
        <f t="shared" si="4"/>
        <v>0.56103091246894543</v>
      </c>
      <c r="H16" s="1">
        <f t="shared" ref="H16:H18" si="7">H15 + 1</f>
        <v>3</v>
      </c>
      <c r="I16" s="5">
        <v>5.16</v>
      </c>
      <c r="J16" s="5">
        <v>5.93</v>
      </c>
      <c r="K16" s="5">
        <v>9.89</v>
      </c>
      <c r="L16" s="6">
        <v>0.1721</v>
      </c>
      <c r="M16" s="6">
        <f t="shared" si="5"/>
        <v>0.76856889869145006</v>
      </c>
    </row>
    <row r="17" spans="1:13">
      <c r="A17" s="1">
        <f t="shared" si="6"/>
        <v>4</v>
      </c>
      <c r="B17" s="5">
        <v>2.2000000000000002</v>
      </c>
      <c r="C17" s="5">
        <v>4.87</v>
      </c>
      <c r="D17" s="5">
        <v>8.7799999999999994</v>
      </c>
      <c r="E17" s="6">
        <v>5.2400000000000002E-2</v>
      </c>
      <c r="F17" s="6">
        <f t="shared" si="4"/>
        <v>0.48373475887420947</v>
      </c>
      <c r="H17" s="1">
        <f t="shared" si="7"/>
        <v>4</v>
      </c>
      <c r="I17" s="5">
        <v>4.3099999999999996</v>
      </c>
      <c r="J17" s="5">
        <v>5.66</v>
      </c>
      <c r="K17" s="5">
        <v>7.06</v>
      </c>
      <c r="L17" s="6">
        <v>0.10199999999999999</v>
      </c>
      <c r="M17" s="6">
        <f t="shared" si="5"/>
        <v>0.77466000805993318</v>
      </c>
    </row>
    <row r="18" spans="1:13">
      <c r="A18" s="1">
        <f t="shared" si="6"/>
        <v>5</v>
      </c>
      <c r="B18" s="5">
        <v>2.0099999999999998</v>
      </c>
      <c r="C18" s="5">
        <v>3.45</v>
      </c>
      <c r="D18" s="5">
        <v>12.94</v>
      </c>
      <c r="E18" s="6">
        <v>5.7299999999999997E-2</v>
      </c>
      <c r="F18" s="6">
        <f t="shared" si="4"/>
        <v>0.44896544295915736</v>
      </c>
      <c r="H18" s="1">
        <f t="shared" si="7"/>
        <v>5</v>
      </c>
      <c r="I18" s="5">
        <v>3.87</v>
      </c>
      <c r="J18" s="5">
        <v>4.08</v>
      </c>
      <c r="K18" s="5">
        <v>6.23</v>
      </c>
      <c r="L18" s="6">
        <v>5.28E-2</v>
      </c>
      <c r="M18" s="6">
        <f t="shared" si="5"/>
        <v>0.83834846488835557</v>
      </c>
    </row>
    <row r="19" spans="1:13">
      <c r="A19" s="3" t="s">
        <v>9</v>
      </c>
      <c r="B19" s="8">
        <f>AVERAGE(B14:B18)</f>
        <v>2.3540000000000001</v>
      </c>
      <c r="C19" s="8">
        <f>AVERAGE(C14:C18)</f>
        <v>7.2380000000000013</v>
      </c>
      <c r="D19" s="8">
        <f>AVERAGE(D14:D18)</f>
        <v>12.398</v>
      </c>
      <c r="E19" s="7">
        <f>AVERAGE(E14:E18)</f>
        <v>9.8300000000000012E-2</v>
      </c>
      <c r="F19" s="7">
        <f>AVERAGE(F14:F18)</f>
        <v>0.41792083319392165</v>
      </c>
      <c r="H19" s="3" t="s">
        <v>9</v>
      </c>
      <c r="I19" s="8">
        <f>AVERAGE(I14:I18)</f>
        <v>4.8719999999999999</v>
      </c>
      <c r="J19" s="8">
        <f>AVERAGE(J14:J18)</f>
        <v>6.35</v>
      </c>
      <c r="K19" s="8">
        <f>AVERAGE(K14:K18)</f>
        <v>9.2460000000000004</v>
      </c>
      <c r="L19" s="7">
        <f>AVERAGE(L14:L18)</f>
        <v>0.19186</v>
      </c>
      <c r="M19" s="7">
        <f>AVERAGE(M14:M18)</f>
        <v>0.75961111995897013</v>
      </c>
    </row>
    <row r="21" spans="1:13">
      <c r="E21" s="26" t="s">
        <v>46</v>
      </c>
      <c r="F21" s="26"/>
      <c r="G21" s="26"/>
      <c r="H21" s="26"/>
    </row>
    <row r="22" spans="1:13"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</row>
    <row r="23" spans="1:13">
      <c r="D23" s="1">
        <v>1</v>
      </c>
      <c r="E23" s="5">
        <v>6.77</v>
      </c>
      <c r="F23" s="5">
        <v>10.89</v>
      </c>
      <c r="G23" s="5">
        <v>16.41</v>
      </c>
      <c r="H23" s="6">
        <v>0.7954</v>
      </c>
      <c r="I23" s="6">
        <f>(E23^2/(F23*G23))^(1/3)</f>
        <v>0.6353508649864692</v>
      </c>
    </row>
    <row r="24" spans="1:13">
      <c r="D24" s="1">
        <f>D23 + 1</f>
        <v>2</v>
      </c>
      <c r="E24" s="5">
        <v>6.45</v>
      </c>
      <c r="F24" s="5">
        <v>6.59</v>
      </c>
      <c r="G24" s="5">
        <v>10.43</v>
      </c>
      <c r="H24" s="6">
        <v>0.41199999999999998</v>
      </c>
      <c r="I24" s="6">
        <f t="shared" ref="I24:I27" si="8">(E24^2/(F24*G24))^(1/3)</f>
        <v>0.84589521591463679</v>
      </c>
    </row>
    <row r="25" spans="1:13">
      <c r="D25" s="1">
        <f t="shared" ref="D25:D27" si="9">D24 + 1</f>
        <v>3</v>
      </c>
      <c r="E25" s="5">
        <v>0.96</v>
      </c>
      <c r="F25" s="5">
        <v>5.45</v>
      </c>
      <c r="G25" s="5">
        <v>11.7</v>
      </c>
      <c r="H25" s="6">
        <v>5.4800000000000001E-2</v>
      </c>
      <c r="I25" s="6">
        <f t="shared" si="8"/>
        <v>0.24358658531086583</v>
      </c>
    </row>
    <row r="26" spans="1:13">
      <c r="D26" s="1">
        <f t="shared" si="9"/>
        <v>4</v>
      </c>
      <c r="E26" s="5">
        <v>4.1900000000000004</v>
      </c>
      <c r="F26" s="5">
        <v>4.2</v>
      </c>
      <c r="G26" s="5">
        <v>5.39</v>
      </c>
      <c r="H26" s="6">
        <v>7.7399999999999997E-2</v>
      </c>
      <c r="I26" s="6">
        <f t="shared" si="8"/>
        <v>0.91874854317699051</v>
      </c>
    </row>
    <row r="27" spans="1:13">
      <c r="D27" s="1">
        <f t="shared" si="9"/>
        <v>5</v>
      </c>
      <c r="E27" s="5">
        <v>2.4900000000000002</v>
      </c>
      <c r="F27" s="5">
        <v>4.57</v>
      </c>
      <c r="G27" s="5">
        <v>15.66</v>
      </c>
      <c r="H27" s="6">
        <v>0.13070000000000001</v>
      </c>
      <c r="I27" s="6">
        <f t="shared" si="8"/>
        <v>0.44248332825439318</v>
      </c>
    </row>
    <row r="28" spans="1:13">
      <c r="D28" s="3" t="s">
        <v>9</v>
      </c>
      <c r="E28" s="8">
        <f>AVERAGE(E23:E27)</f>
        <v>4.1719999999999997</v>
      </c>
      <c r="F28" s="8">
        <f>AVERAGE(F23:F27)</f>
        <v>6.34</v>
      </c>
      <c r="G28" s="8">
        <f>AVERAGE(G23:G27)</f>
        <v>11.918000000000001</v>
      </c>
      <c r="H28" s="7">
        <f>AVERAGE(H23:H27)</f>
        <v>0.29405999999999999</v>
      </c>
      <c r="I28" s="7">
        <f>AVERAGE(I23:I27)</f>
        <v>0.61721290752867108</v>
      </c>
    </row>
  </sheetData>
  <mergeCells count="6">
    <mergeCell ref="A1:M1"/>
    <mergeCell ref="I3:L3"/>
    <mergeCell ref="I12:L12"/>
    <mergeCell ref="E21:H21"/>
    <mergeCell ref="B3:E3"/>
    <mergeCell ref="B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Emil Winkler</dc:creator>
  <cp:keywords/>
  <dc:description/>
  <cp:lastModifiedBy/>
  <cp:revision/>
  <dcterms:created xsi:type="dcterms:W3CDTF">2026-02-11T09:36:37Z</dcterms:created>
  <dcterms:modified xsi:type="dcterms:W3CDTF">2026-06-03T19:40:34Z</dcterms:modified>
  <cp:category/>
  <cp:contentStatus/>
</cp:coreProperties>
</file>